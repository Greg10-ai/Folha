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\\192.168.15.250\3i\Administrativo\RH\20. FOLHA\"/>
    </mc:Choice>
  </mc:AlternateContent>
  <xr:revisionPtr revIDLastSave="0" documentId="13_ncr:1_{5CCAE73F-A05C-4064-A690-7F0155B7A5B9}" xr6:coauthVersionLast="47" xr6:coauthVersionMax="47" xr10:uidLastSave="{00000000-0000-0000-0000-000000000000}"/>
  <bookViews>
    <workbookView xWindow="-110" yWindow="-110" windowWidth="19420" windowHeight="10300" xr2:uid="{847DBF1B-1A79-4803-A774-745B91D317E6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A9" i="1" l="1"/>
  <c r="FB9" i="1" s="1"/>
  <c r="EN9" i="1"/>
  <c r="EA9" i="1"/>
  <c r="DN9" i="1"/>
  <c r="DA9" i="1"/>
  <c r="CN9" i="1"/>
  <c r="CA9" i="1"/>
  <c r="BN9" i="1"/>
  <c r="BA9" i="1"/>
  <c r="AN9" i="1"/>
  <c r="AD14" i="1"/>
  <c r="Y9" i="1" l="1"/>
  <c r="Y14" i="1" s="1"/>
  <c r="W9" i="1"/>
  <c r="W14" i="1" s="1"/>
  <c r="T14" i="1"/>
  <c r="M9" i="1"/>
  <c r="Z4" i="1"/>
  <c r="AN4" i="1"/>
  <c r="BA4" i="1"/>
  <c r="BN4" i="1"/>
  <c r="CA4" i="1"/>
  <c r="CN4" i="1"/>
  <c r="DA4" i="1"/>
  <c r="DN4" i="1"/>
  <c r="EA4" i="1"/>
  <c r="EN4" i="1"/>
  <c r="FA4" i="1"/>
  <c r="Z5" i="1"/>
  <c r="AN5" i="1"/>
  <c r="BA5" i="1"/>
  <c r="BN5" i="1"/>
  <c r="CA5" i="1"/>
  <c r="CN5" i="1"/>
  <c r="DA5" i="1"/>
  <c r="DN5" i="1"/>
  <c r="EA5" i="1"/>
  <c r="EN5" i="1"/>
  <c r="FA5" i="1"/>
  <c r="Z6" i="1"/>
  <c r="AN6" i="1"/>
  <c r="BA6" i="1"/>
  <c r="BN6" i="1"/>
  <c r="CA6" i="1"/>
  <c r="CN6" i="1"/>
  <c r="DA6" i="1"/>
  <c r="DN6" i="1"/>
  <c r="EA6" i="1"/>
  <c r="EN6" i="1"/>
  <c r="FA6" i="1"/>
  <c r="Z7" i="1"/>
  <c r="AN7" i="1"/>
  <c r="BA7" i="1"/>
  <c r="BN7" i="1"/>
  <c r="CA7" i="1"/>
  <c r="CN7" i="1"/>
  <c r="DA7" i="1"/>
  <c r="DN7" i="1"/>
  <c r="EA7" i="1"/>
  <c r="EN7" i="1"/>
  <c r="FA7" i="1"/>
  <c r="Z8" i="1"/>
  <c r="AN8" i="1"/>
  <c r="BA8" i="1"/>
  <c r="BN8" i="1"/>
  <c r="CA8" i="1"/>
  <c r="CN8" i="1"/>
  <c r="DA8" i="1"/>
  <c r="DN8" i="1"/>
  <c r="EA8" i="1"/>
  <c r="EN8" i="1"/>
  <c r="FA8" i="1"/>
  <c r="Z11" i="1"/>
  <c r="AN11" i="1"/>
  <c r="BA11" i="1"/>
  <c r="BN11" i="1"/>
  <c r="CA11" i="1"/>
  <c r="CN11" i="1"/>
  <c r="DA11" i="1"/>
  <c r="DN11" i="1"/>
  <c r="EA11" i="1"/>
  <c r="EN11" i="1"/>
  <c r="FA11" i="1"/>
  <c r="Z12" i="1"/>
  <c r="AN12" i="1"/>
  <c r="BA12" i="1"/>
  <c r="BN12" i="1"/>
  <c r="CA12" i="1"/>
  <c r="CN12" i="1"/>
  <c r="DA12" i="1"/>
  <c r="DN12" i="1"/>
  <c r="EA12" i="1"/>
  <c r="EN12" i="1"/>
  <c r="FA12" i="1"/>
  <c r="Z13" i="1"/>
  <c r="AN13" i="1"/>
  <c r="BA13" i="1"/>
  <c r="BN13" i="1"/>
  <c r="CA13" i="1"/>
  <c r="CN13" i="1"/>
  <c r="DA13" i="1"/>
  <c r="DN13" i="1"/>
  <c r="EA13" i="1"/>
  <c r="EN13" i="1"/>
  <c r="FA13" i="1"/>
  <c r="N14" i="1"/>
  <c r="O14" i="1"/>
  <c r="P14" i="1"/>
  <c r="Q14" i="1"/>
  <c r="R14" i="1"/>
  <c r="S14" i="1"/>
  <c r="U14" i="1"/>
  <c r="V14" i="1"/>
  <c r="X14" i="1"/>
  <c r="AA14" i="1"/>
  <c r="AB14" i="1"/>
  <c r="M13" i="1"/>
  <c r="M12" i="1"/>
  <c r="M11" i="1"/>
  <c r="M8" i="1"/>
  <c r="M7" i="1"/>
  <c r="M6" i="1"/>
  <c r="M5" i="1"/>
  <c r="M4" i="1"/>
  <c r="L14" i="1"/>
  <c r="K14" i="1"/>
  <c r="J14" i="1"/>
  <c r="I14" i="1"/>
  <c r="H14" i="1"/>
  <c r="F14" i="1"/>
  <c r="E14" i="1"/>
  <c r="D14" i="1"/>
  <c r="C14" i="1"/>
  <c r="G14" i="1"/>
  <c r="Z9" i="1" l="1"/>
  <c r="Z14" i="1" s="1"/>
  <c r="AC14" i="1"/>
  <c r="FB12" i="1"/>
  <c r="FB7" i="1"/>
  <c r="M14" i="1"/>
  <c r="FB8" i="1"/>
  <c r="FB11" i="1"/>
  <c r="FB6" i="1"/>
  <c r="FB5" i="1"/>
  <c r="FB13" i="1"/>
  <c r="FB4" i="1"/>
  <c r="AE14" i="1" l="1"/>
  <c r="AF14" i="1" l="1"/>
  <c r="AG14" i="1" l="1"/>
  <c r="AH14" i="1" l="1"/>
  <c r="AJ14" i="1" l="1"/>
  <c r="AL14" i="1" l="1"/>
  <c r="AK14" i="1"/>
  <c r="AM14" i="1" l="1"/>
  <c r="AR14" i="1" l="1"/>
  <c r="AN14" i="1"/>
  <c r="AQ14" i="1"/>
  <c r="AP14" i="1"/>
  <c r="AO14" i="1"/>
  <c r="AT14" i="1" l="1"/>
  <c r="AS14" i="1"/>
  <c r="AU14" i="1" l="1"/>
  <c r="AV14" i="1" l="1"/>
  <c r="AW14" i="1" l="1"/>
  <c r="AY14" i="1" l="1"/>
  <c r="AX14" i="1"/>
  <c r="AZ14" i="1" l="1"/>
  <c r="BA14" i="1" l="1"/>
  <c r="BC14" i="1" l="1"/>
  <c r="BB14" i="1"/>
  <c r="BD14" i="1" l="1"/>
  <c r="BE14" i="1" l="1"/>
  <c r="BF14" i="1" l="1"/>
  <c r="BG14" i="1" l="1"/>
  <c r="BI14" i="1" l="1"/>
  <c r="BH14" i="1"/>
  <c r="BJ14" i="1" l="1"/>
  <c r="BK14" i="1" l="1"/>
  <c r="BL14" i="1" l="1"/>
  <c r="BM14" i="1" l="1"/>
  <c r="BN14" i="1" l="1"/>
  <c r="BO14" i="1" l="1"/>
  <c r="BP14" i="1" l="1"/>
  <c r="BQ14" i="1" l="1"/>
  <c r="BR14" i="1" l="1"/>
  <c r="BS14" i="1" l="1"/>
  <c r="BT14" i="1" l="1"/>
  <c r="BU14" i="1" l="1"/>
  <c r="BV14" i="1" l="1"/>
  <c r="BW14" i="1" l="1"/>
  <c r="BX14" i="1" l="1"/>
  <c r="BY14" i="1" l="1"/>
  <c r="BZ14" i="1" l="1"/>
  <c r="CA14" i="1" l="1"/>
  <c r="CB14" i="1" l="1"/>
  <c r="CC14" i="1" l="1"/>
  <c r="CD14" i="1" l="1"/>
  <c r="CE14" i="1" l="1"/>
  <c r="CF14" i="1" l="1"/>
  <c r="CG14" i="1" l="1"/>
  <c r="CH14" i="1" l="1"/>
  <c r="CI14" i="1" l="1"/>
  <c r="CJ14" i="1" l="1"/>
  <c r="CK14" i="1" l="1"/>
  <c r="CL14" i="1" l="1"/>
  <c r="CM14" i="1" l="1"/>
  <c r="CN14" i="1" l="1"/>
  <c r="CO14" i="1" l="1"/>
  <c r="CP14" i="1" l="1"/>
  <c r="CQ14" i="1" l="1"/>
  <c r="CR14" i="1" l="1"/>
  <c r="CS14" i="1" l="1"/>
  <c r="CT14" i="1" l="1"/>
  <c r="CU14" i="1" l="1"/>
  <c r="CV14" i="1" l="1"/>
  <c r="CW14" i="1" l="1"/>
  <c r="CX14" i="1" l="1"/>
  <c r="CY14" i="1" l="1"/>
  <c r="CZ14" i="1" l="1"/>
  <c r="DA14" i="1" l="1"/>
  <c r="DB14" i="1" l="1"/>
  <c r="DC14" i="1" l="1"/>
  <c r="DD14" i="1" l="1"/>
  <c r="DE14" i="1" l="1"/>
  <c r="DF14" i="1" l="1"/>
  <c r="DG14" i="1" l="1"/>
  <c r="DH14" i="1" l="1"/>
  <c r="DI14" i="1" l="1"/>
  <c r="DJ14" i="1" l="1"/>
  <c r="DK14" i="1" l="1"/>
  <c r="DL14" i="1" l="1"/>
  <c r="DM14" i="1" l="1"/>
  <c r="DN14" i="1" l="1"/>
  <c r="DO14" i="1" l="1"/>
  <c r="DP14" i="1" l="1"/>
  <c r="DQ14" i="1" l="1"/>
  <c r="DR14" i="1" l="1"/>
  <c r="DS14" i="1" l="1"/>
  <c r="DT14" i="1" l="1"/>
  <c r="DU14" i="1" l="1"/>
  <c r="DV14" i="1" l="1"/>
  <c r="DW14" i="1" l="1"/>
  <c r="DX14" i="1" l="1"/>
  <c r="DY14" i="1" l="1"/>
  <c r="DZ14" i="1" l="1"/>
  <c r="EA14" i="1" l="1"/>
  <c r="EB14" i="1" l="1"/>
  <c r="EC14" i="1" l="1"/>
  <c r="ED14" i="1" l="1"/>
  <c r="EE14" i="1" l="1"/>
  <c r="EF14" i="1" l="1"/>
  <c r="EG14" i="1" l="1"/>
  <c r="EH14" i="1" l="1"/>
  <c r="EI14" i="1" l="1"/>
  <c r="EJ14" i="1" l="1"/>
  <c r="EK14" i="1" l="1"/>
  <c r="EL14" i="1" l="1"/>
  <c r="EM14" i="1" l="1"/>
  <c r="EN14" i="1" l="1"/>
  <c r="EO14" i="1" l="1"/>
  <c r="EP14" i="1" l="1"/>
  <c r="EQ14" i="1" l="1"/>
  <c r="ER14" i="1" l="1"/>
  <c r="ES14" i="1" l="1"/>
  <c r="ET14" i="1" l="1"/>
  <c r="EU14" i="1" l="1"/>
  <c r="EV14" i="1" l="1"/>
  <c r="EW14" i="1" l="1"/>
  <c r="EX14" i="1" l="1"/>
  <c r="EY14" i="1" l="1"/>
  <c r="EZ14" i="1" l="1"/>
  <c r="FA14" i="1" l="1"/>
  <c r="FB14" i="1"/>
</calcChain>
</file>

<file path=xl/sharedStrings.xml><?xml version="1.0" encoding="utf-8"?>
<sst xmlns="http://schemas.openxmlformats.org/spreadsheetml/2006/main" count="179" uniqueCount="37">
  <si>
    <t>ANA CRISTINA WRUCH</t>
  </si>
  <si>
    <t>Valor fixo</t>
  </si>
  <si>
    <t>Assistência médica</t>
  </si>
  <si>
    <t>TOTAL</t>
  </si>
  <si>
    <t>ELIZEU FERNANDES DE CARVALHO</t>
  </si>
  <si>
    <t>(-) Desconto | Festa empresa</t>
  </si>
  <si>
    <t>FLÁVIO MACHADO DOS REIS</t>
  </si>
  <si>
    <t>Comissão variável</t>
  </si>
  <si>
    <t>Comissão fixa</t>
  </si>
  <si>
    <t>GISELE PRIEBE PINHEIRO</t>
  </si>
  <si>
    <t>(-) Desconto | Assistência médica</t>
  </si>
  <si>
    <t>(-) Desconto | Empréstimo</t>
  </si>
  <si>
    <t>JOSÉ ANTÔNIO OLIVEIRA DA SILVA</t>
  </si>
  <si>
    <t>MATHEUS ALMEIDA DE OLIVEIRA</t>
  </si>
  <si>
    <t>JOCIELE NAIARA VAZ PADILHA</t>
  </si>
  <si>
    <t>RAFAEL FERREIRA DA SILVA</t>
  </si>
  <si>
    <t>VANESSA VIEGAS SCHLEMMER</t>
  </si>
  <si>
    <t>WILMA SANTIAGO DA SILVA</t>
  </si>
  <si>
    <t>WILLIAMS SANTOS DE ANDRADE</t>
  </si>
  <si>
    <t>Controle PJ 2026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</si>
  <si>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</si>
  <si>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</si>
  <si>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</si>
  <si>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</si>
  <si>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</si>
  <si>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</si>
  <si>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</si>
  <si>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</si>
  <si>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</si>
  <si>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NF</t>
  </si>
  <si>
    <t>Campanhas</t>
  </si>
  <si>
    <t>MATHEUS OLLE DE VARGAS</t>
  </si>
  <si>
    <t>Bônus por Tamanho de Carteira</t>
  </si>
  <si>
    <t>RAFAEL ZEFERINO DIAS</t>
  </si>
  <si>
    <t>Bonificação anual</t>
  </si>
  <si>
    <t>C.ANA CRISTINA WRUCH</t>
  </si>
  <si>
    <t>Fevereiro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</si>
</sst>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_ ;[Red]\-#,##0.00\ "/>
    <numFmt numFmtId="165" formatCode="#,##0.00&quot; &quot;;#,##0.00&quot; &quot;;&quot;-&quot;#&quot; &quot;;&quot; &quot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wrapText="1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164" fontId="0" fillId="0" borderId="1" xfId="1" applyNumberFormat="1" applyFont="1" applyBorder="1"/>
    <xf numFmtId="164" fontId="3" fillId="3" borderId="1" xfId="1" applyNumberFormat="1" applyFont="1" applyFill="1" applyBorder="1" applyAlignment="1">
      <alignment vertical="center"/>
    </xf>
    <xf numFmtId="164" fontId="2" fillId="0" borderId="1" xfId="1" applyNumberFormat="1" applyFont="1" applyBorder="1"/>
    <xf numFmtId="0" fontId="3" fillId="3" borderId="1" xfId="0" applyFont="1" applyFill="1" applyBorder="1"/>
    <xf numFmtId="43" fontId="3" fillId="3" borderId="1" xfId="0" applyNumberFormat="1" applyFont="1" applyFill="1" applyBorder="1"/>
    <xf numFmtId="0" fontId="3" fillId="4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3" fillId="4" borderId="1" xfId="0" applyFont="1" applyFill="1" applyBorder="1"/>
    <xf numFmtId="0" fontId="6" fillId="4" borderId="1" xfId="0" applyFont="1" applyFill="1" applyBorder="1"/>
    <xf numFmtId="164" fontId="6" fillId="3" borderId="1" xfId="1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165" fontId="7" fillId="5" borderId="5" xfId="0" applyNumberFormat="1" applyFont="1" applyFill="1" applyBorder="1" applyAlignment="1">
      <alignment horizontal="center"/>
    </xf>
    <xf numFmtId="0" fontId="8" fillId="0" borderId="0" xfId="0" applyFont="1"/>
    <xf numFmtId="165" fontId="7" fillId="5" borderId="0" xfId="0" applyNumberFormat="1" applyFont="1" applyFill="1" applyBorder="1" applyAlignment="1">
      <alignment horizontal="center"/>
    </xf>
    <xf numFmtId="17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7" fontId="4" fillId="2" borderId="1" xfId="0" applyNumberFormat="1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09BF8-FB2C-4A5E-8550-8630A6EE4CD0}">
  <sheetPr codeName="Planilha1"/>
  <dimension ref="B1:FB14"/>
  <sheetViews>
    <sheetView showGridLines="0" tabSelected="1" zoomScaleNormal="100" workbookViewId="0">
      <pane xSplit="2" ySplit="2" topLeftCell="C3" activePane="bottomRight" state="frozen"/>
      <selection pane="topRight" activeCell="C1" sqref="C1"/>
      <selection pane="bottomLeft" activeCell="A4" sqref="A4"/>
      <selection pane="bottomRight" activeCell="D6" sqref="D6"/>
    </sheetView>
  </sheetViews>
  <sheetFormatPr defaultRowHeight="14.5" outlineLevelCol="1" x14ac:dyDescent="0.35"/>
  <cols>
    <col min="1" max="1" width="2.26953125" customWidth="1"/>
    <col min="2" max="2" width="31.1796875" bestFit="1" customWidth="1"/>
    <col min="3" max="11" width="19.453125" customWidth="1" outlineLevel="1"/>
    <col min="12" max="12" width="19.1796875" customWidth="1" outlineLevel="1"/>
    <col min="13" max="13" width="19.453125" customWidth="1"/>
    <col min="14" max="14" width="22.453125" bestFit="1" customWidth="1" outlineLevel="1"/>
    <col min="15" max="25" width="19.453125" customWidth="1" outlineLevel="1"/>
    <col min="26" max="26" width="10.36328125" bestFit="1" customWidth="1"/>
    <col min="27" max="27" width="13.08984375" bestFit="1" customWidth="1" outlineLevel="1"/>
    <col min="28" max="28" width="17.26953125" bestFit="1" customWidth="1" outlineLevel="1"/>
    <col min="29" max="39" width="19.453125" customWidth="1" outlineLevel="1"/>
    <col min="40" max="40" width="19.453125" customWidth="1"/>
    <col min="41" max="52" width="19.453125" hidden="1" customWidth="1" outlineLevel="1"/>
    <col min="53" max="53" width="19.453125" customWidth="1" collapsed="1"/>
    <col min="54" max="65" width="19.453125" hidden="1" customWidth="1" outlineLevel="1"/>
    <col min="66" max="66" width="19.453125" customWidth="1" collapsed="1"/>
    <col min="67" max="78" width="19.453125" hidden="1" customWidth="1" outlineLevel="1"/>
    <col min="79" max="79" width="19.453125" customWidth="1" collapsed="1"/>
    <col min="80" max="91" width="19.453125" hidden="1" customWidth="1" outlineLevel="1"/>
    <col min="92" max="92" width="19.453125" customWidth="1" collapsed="1"/>
    <col min="93" max="104" width="19.453125" hidden="1" customWidth="1" outlineLevel="1"/>
    <col min="105" max="105" width="19.453125" customWidth="1" collapsed="1"/>
    <col min="106" max="117" width="19.453125" hidden="1" customWidth="1" outlineLevel="1"/>
    <col min="118" max="118" width="19.453125" customWidth="1" collapsed="1"/>
    <col min="119" max="130" width="19.453125" hidden="1" customWidth="1" outlineLevel="1"/>
    <col min="131" max="131" width="19.453125" customWidth="1" collapsed="1"/>
    <col min="132" max="143" width="19.453125" hidden="1" customWidth="1" outlineLevel="1"/>
    <col min="144" max="144" width="19.453125" customWidth="1" collapsed="1"/>
    <col min="145" max="156" width="19.453125" hidden="1" customWidth="1" outlineLevel="1"/>
    <col min="157" max="157" width="19.453125" customWidth="1" collapsed="1"/>
    <col min="158" max="158" width="17.453125" customWidth="1"/>
  </cols>
  <sheetData>
    <row r="1" spans="2:158" ht="15" thickBot="1" x14ac:dyDescent="0.4">
      <c r="C1" s="19">
        <v>46023</v>
      </c>
      <c r="D1" s="20"/>
      <c r="E1" s="20"/>
      <c r="F1" s="20"/>
      <c r="G1" s="20"/>
      <c r="H1" s="20"/>
      <c r="I1" s="20"/>
      <c r="J1" s="20"/>
      <c r="K1" s="20"/>
      <c r="L1" s="20"/>
      <c r="M1" s="21"/>
      <c r="N1" s="22" t="s">
        <v>36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4"/>
      <c r="AA1" s="22">
        <v>46082</v>
      </c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 t="s">
        <v>20</v>
      </c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 t="s">
        <v>21</v>
      </c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 t="s">
        <v>22</v>
      </c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 t="s">
        <v>23</v>
      </c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 t="s">
        <v>24</v>
      </c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 t="s">
        <v>25</v>
      </c>
      <c r="DC1" s="25"/>
      <c r="DD1" s="25"/>
      <c r="DE1" s="25"/>
      <c r="DF1" s="25"/>
      <c r="DG1" s="25"/>
      <c r="DH1" s="25"/>
      <c r="DI1" s="25"/>
      <c r="DJ1" s="25"/>
      <c r="DK1" s="25"/>
      <c r="DL1" s="25"/>
      <c r="DM1" s="25"/>
      <c r="DN1" s="25"/>
      <c r="DO1" s="25" t="s">
        <v>26</v>
      </c>
      <c r="DP1" s="25"/>
      <c r="DQ1" s="25"/>
      <c r="DR1" s="25"/>
      <c r="DS1" s="25"/>
      <c r="DT1" s="25"/>
      <c r="DU1" s="25"/>
      <c r="DV1" s="25"/>
      <c r="DW1" s="25"/>
      <c r="DX1" s="25"/>
      <c r="DY1" s="25"/>
      <c r="DZ1" s="25"/>
      <c r="EA1" s="25"/>
      <c r="EB1" s="25" t="s">
        <v>27</v>
      </c>
      <c r="EC1" s="25"/>
      <c r="ED1" s="25"/>
      <c r="EE1" s="25"/>
      <c r="EF1" s="25"/>
      <c r="EG1" s="25"/>
      <c r="EH1" s="25"/>
      <c r="EI1" s="25"/>
      <c r="EJ1" s="25"/>
      <c r="EK1" s="25"/>
      <c r="EL1" s="25"/>
      <c r="EM1" s="25"/>
      <c r="EN1" s="25"/>
      <c r="EO1" s="25" t="s">
        <v>28</v>
      </c>
      <c r="EP1" s="25"/>
      <c r="EQ1" s="25"/>
      <c r="ER1" s="25"/>
      <c r="ES1" s="25"/>
      <c r="ET1" s="25"/>
      <c r="EU1" s="25"/>
      <c r="EV1" s="25"/>
      <c r="EW1" s="25"/>
      <c r="EX1" s="25"/>
      <c r="EY1" s="25"/>
      <c r="EZ1" s="25"/>
      <c r="FA1" s="25"/>
      <c r="FB1" s="11">
        <v>2026</v>
      </c>
    </row>
    <row r="2" spans="2:158" s="2" customFormat="1" ht="30.75" customHeight="1" thickBot="1" x14ac:dyDescent="0.4">
      <c r="B2" s="15" t="s">
        <v>19</v>
      </c>
      <c r="C2" s="10" t="s">
        <v>35</v>
      </c>
      <c r="D2" s="10" t="s">
        <v>4</v>
      </c>
      <c r="E2" s="10" t="s">
        <v>6</v>
      </c>
      <c r="F2" s="10" t="s">
        <v>12</v>
      </c>
      <c r="G2" s="10" t="s">
        <v>13</v>
      </c>
      <c r="H2" s="10" t="s">
        <v>14</v>
      </c>
      <c r="I2" s="10" t="s">
        <v>15</v>
      </c>
      <c r="J2" s="10" t="s">
        <v>16</v>
      </c>
      <c r="K2" s="10" t="s">
        <v>17</v>
      </c>
      <c r="L2" s="10" t="s">
        <v>18</v>
      </c>
      <c r="M2" s="4" t="s">
        <v>3</v>
      </c>
      <c r="N2" s="10" t="s">
        <v>35</v>
      </c>
      <c r="O2" s="10" t="s">
        <v>4</v>
      </c>
      <c r="P2" s="10" t="s">
        <v>6</v>
      </c>
      <c r="Q2" s="10" t="s">
        <v>9</v>
      </c>
      <c r="R2" s="10" t="s">
        <v>12</v>
      </c>
      <c r="S2" s="10" t="s">
        <v>13</v>
      </c>
      <c r="T2" s="10" t="s">
        <v>31</v>
      </c>
      <c r="U2" s="10" t="s">
        <v>14</v>
      </c>
      <c r="V2" s="10" t="s">
        <v>15</v>
      </c>
      <c r="W2" s="10" t="s">
        <v>16</v>
      </c>
      <c r="X2" s="10" t="s">
        <v>17</v>
      </c>
      <c r="Y2" s="10" t="s">
        <v>18</v>
      </c>
      <c r="Z2" s="4" t="s">
        <v>3</v>
      </c>
      <c r="AA2" s="10" t="s">
        <v>0</v>
      </c>
      <c r="AB2" s="10" t="s">
        <v>4</v>
      </c>
      <c r="AC2" s="10" t="s">
        <v>6</v>
      </c>
      <c r="AD2" s="10" t="s">
        <v>9</v>
      </c>
      <c r="AE2" s="10" t="s">
        <v>12</v>
      </c>
      <c r="AF2" s="10" t="s">
        <v>13</v>
      </c>
      <c r="AG2" s="10" t="s">
        <v>14</v>
      </c>
      <c r="AH2" s="10" t="s">
        <v>15</v>
      </c>
      <c r="AI2" s="10" t="s">
        <v>33</v>
      </c>
      <c r="AJ2" s="10" t="s">
        <v>31</v>
      </c>
      <c r="AK2" s="10" t="s">
        <v>16</v>
      </c>
      <c r="AL2" s="10" t="s">
        <v>17</v>
      </c>
      <c r="AM2" s="10" t="s">
        <v>18</v>
      </c>
      <c r="AN2" s="4" t="s">
        <v>3</v>
      </c>
      <c r="AO2" s="10" t="s">
        <v>0</v>
      </c>
      <c r="AP2" s="10" t="s">
        <v>4</v>
      </c>
      <c r="AQ2" s="10" t="s">
        <v>6</v>
      </c>
      <c r="AR2" s="10" t="s">
        <v>9</v>
      </c>
      <c r="AS2" s="10" t="s">
        <v>12</v>
      </c>
      <c r="AT2" s="10" t="s">
        <v>13</v>
      </c>
      <c r="AU2" s="10" t="s">
        <v>14</v>
      </c>
      <c r="AV2" s="10" t="s">
        <v>15</v>
      </c>
      <c r="AW2" s="10" t="s">
        <v>15</v>
      </c>
      <c r="AX2" s="10" t="s">
        <v>16</v>
      </c>
      <c r="AY2" s="10" t="s">
        <v>17</v>
      </c>
      <c r="AZ2" s="10" t="s">
        <v>18</v>
      </c>
      <c r="BA2" s="4" t="s">
        <v>3</v>
      </c>
      <c r="BB2" s="10" t="s">
        <v>0</v>
      </c>
      <c r="BC2" s="10" t="s">
        <v>4</v>
      </c>
      <c r="BD2" s="10" t="s">
        <v>6</v>
      </c>
      <c r="BE2" s="10" t="s">
        <v>9</v>
      </c>
      <c r="BF2" s="10" t="s">
        <v>12</v>
      </c>
      <c r="BG2" s="10" t="s">
        <v>13</v>
      </c>
      <c r="BH2" s="10" t="s">
        <v>14</v>
      </c>
      <c r="BI2" s="10" t="s">
        <v>15</v>
      </c>
      <c r="BJ2" s="10" t="s">
        <v>15</v>
      </c>
      <c r="BK2" s="10" t="s">
        <v>16</v>
      </c>
      <c r="BL2" s="10" t="s">
        <v>17</v>
      </c>
      <c r="BM2" s="10" t="s">
        <v>18</v>
      </c>
      <c r="BN2" s="4" t="s">
        <v>3</v>
      </c>
      <c r="BO2" s="10" t="s">
        <v>0</v>
      </c>
      <c r="BP2" s="10" t="s">
        <v>4</v>
      </c>
      <c r="BQ2" s="10" t="s">
        <v>6</v>
      </c>
      <c r="BR2" s="10" t="s">
        <v>9</v>
      </c>
      <c r="BS2" s="10" t="s">
        <v>12</v>
      </c>
      <c r="BT2" s="10" t="s">
        <v>13</v>
      </c>
      <c r="BU2" s="10" t="s">
        <v>14</v>
      </c>
      <c r="BV2" s="10" t="s">
        <v>15</v>
      </c>
      <c r="BW2" s="10" t="s">
        <v>15</v>
      </c>
      <c r="BX2" s="10" t="s">
        <v>16</v>
      </c>
      <c r="BY2" s="10" t="s">
        <v>17</v>
      </c>
      <c r="BZ2" s="10" t="s">
        <v>18</v>
      </c>
      <c r="CA2" s="4" t="s">
        <v>3</v>
      </c>
      <c r="CB2" s="10" t="s">
        <v>0</v>
      </c>
      <c r="CC2" s="10" t="s">
        <v>4</v>
      </c>
      <c r="CD2" s="10" t="s">
        <v>6</v>
      </c>
      <c r="CE2" s="10" t="s">
        <v>9</v>
      </c>
      <c r="CF2" s="10" t="s">
        <v>12</v>
      </c>
      <c r="CG2" s="10" t="s">
        <v>13</v>
      </c>
      <c r="CH2" s="10" t="s">
        <v>14</v>
      </c>
      <c r="CI2" s="10" t="s">
        <v>15</v>
      </c>
      <c r="CJ2" s="10" t="s">
        <v>15</v>
      </c>
      <c r="CK2" s="10" t="s">
        <v>16</v>
      </c>
      <c r="CL2" s="10" t="s">
        <v>17</v>
      </c>
      <c r="CM2" s="10" t="s">
        <v>18</v>
      </c>
      <c r="CN2" s="4" t="s">
        <v>3</v>
      </c>
      <c r="CO2" s="10" t="s">
        <v>0</v>
      </c>
      <c r="CP2" s="10" t="s">
        <v>4</v>
      </c>
      <c r="CQ2" s="10" t="s">
        <v>6</v>
      </c>
      <c r="CR2" s="10" t="s">
        <v>9</v>
      </c>
      <c r="CS2" s="10" t="s">
        <v>12</v>
      </c>
      <c r="CT2" s="10" t="s">
        <v>13</v>
      </c>
      <c r="CU2" s="10" t="s">
        <v>14</v>
      </c>
      <c r="CV2" s="10" t="s">
        <v>15</v>
      </c>
      <c r="CW2" s="10" t="s">
        <v>15</v>
      </c>
      <c r="CX2" s="10" t="s">
        <v>16</v>
      </c>
      <c r="CY2" s="10" t="s">
        <v>17</v>
      </c>
      <c r="CZ2" s="10" t="s">
        <v>18</v>
      </c>
      <c r="DA2" s="4" t="s">
        <v>3</v>
      </c>
      <c r="DB2" s="10" t="s">
        <v>0</v>
      </c>
      <c r="DC2" s="10" t="s">
        <v>4</v>
      </c>
      <c r="DD2" s="10" t="s">
        <v>6</v>
      </c>
      <c r="DE2" s="10" t="s">
        <v>9</v>
      </c>
      <c r="DF2" s="10" t="s">
        <v>12</v>
      </c>
      <c r="DG2" s="10" t="s">
        <v>13</v>
      </c>
      <c r="DH2" s="10" t="s">
        <v>14</v>
      </c>
      <c r="DI2" s="10" t="s">
        <v>15</v>
      </c>
      <c r="DJ2" s="10" t="s">
        <v>15</v>
      </c>
      <c r="DK2" s="10" t="s">
        <v>16</v>
      </c>
      <c r="DL2" s="10" t="s">
        <v>17</v>
      </c>
      <c r="DM2" s="10" t="s">
        <v>18</v>
      </c>
      <c r="DN2" s="4" t="s">
        <v>3</v>
      </c>
      <c r="DO2" s="10" t="s">
        <v>0</v>
      </c>
      <c r="DP2" s="10" t="s">
        <v>4</v>
      </c>
      <c r="DQ2" s="10" t="s">
        <v>6</v>
      </c>
      <c r="DR2" s="10" t="s">
        <v>9</v>
      </c>
      <c r="DS2" s="10" t="s">
        <v>12</v>
      </c>
      <c r="DT2" s="10" t="s">
        <v>13</v>
      </c>
      <c r="DU2" s="10" t="s">
        <v>14</v>
      </c>
      <c r="DV2" s="10" t="s">
        <v>15</v>
      </c>
      <c r="DW2" s="10" t="s">
        <v>15</v>
      </c>
      <c r="DX2" s="10" t="s">
        <v>16</v>
      </c>
      <c r="DY2" s="10" t="s">
        <v>17</v>
      </c>
      <c r="DZ2" s="10" t="s">
        <v>18</v>
      </c>
      <c r="EA2" s="4" t="s">
        <v>3</v>
      </c>
      <c r="EB2" s="10" t="s">
        <v>0</v>
      </c>
      <c r="EC2" s="10" t="s">
        <v>4</v>
      </c>
      <c r="ED2" s="10" t="s">
        <v>6</v>
      </c>
      <c r="EE2" s="10" t="s">
        <v>9</v>
      </c>
      <c r="EF2" s="10" t="s">
        <v>12</v>
      </c>
      <c r="EG2" s="10" t="s">
        <v>13</v>
      </c>
      <c r="EH2" s="10" t="s">
        <v>14</v>
      </c>
      <c r="EI2" s="10" t="s">
        <v>15</v>
      </c>
      <c r="EJ2" s="10" t="s">
        <v>15</v>
      </c>
      <c r="EK2" s="10" t="s">
        <v>16</v>
      </c>
      <c r="EL2" s="10" t="s">
        <v>17</v>
      </c>
      <c r="EM2" s="10" t="s">
        <v>18</v>
      </c>
      <c r="EN2" s="4" t="s">
        <v>3</v>
      </c>
      <c r="EO2" s="10" t="s">
        <v>0</v>
      </c>
      <c r="EP2" s="10" t="s">
        <v>4</v>
      </c>
      <c r="EQ2" s="10" t="s">
        <v>6</v>
      </c>
      <c r="ER2" s="10" t="s">
        <v>9</v>
      </c>
      <c r="ES2" s="10" t="s">
        <v>12</v>
      </c>
      <c r="ET2" s="10" t="s">
        <v>13</v>
      </c>
      <c r="EU2" s="10" t="s">
        <v>14</v>
      </c>
      <c r="EV2" s="10" t="s">
        <v>15</v>
      </c>
      <c r="EW2" s="10" t="s">
        <v>15</v>
      </c>
      <c r="EX2" s="10" t="s">
        <v>16</v>
      </c>
      <c r="EY2" s="10" t="s">
        <v>17</v>
      </c>
      <c r="EZ2" s="10" t="s">
        <v>18</v>
      </c>
      <c r="FA2" s="4" t="s">
        <v>3</v>
      </c>
      <c r="FB2" s="4" t="s">
        <v>3</v>
      </c>
    </row>
    <row r="3" spans="2:158" s="2" customFormat="1" ht="15" thickBot="1" x14ac:dyDescent="0.4">
      <c r="B3" s="4" t="s">
        <v>29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4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4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4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4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4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4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4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4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4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4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4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4"/>
      <c r="FB3" s="4"/>
    </row>
    <row r="4" spans="2:158" ht="15" thickBot="1" x14ac:dyDescent="0.4">
      <c r="B4" s="12" t="s">
        <v>1</v>
      </c>
      <c r="C4" s="5">
        <v>3000</v>
      </c>
      <c r="D4" s="5">
        <v>3000</v>
      </c>
      <c r="E4" s="5">
        <v>3000</v>
      </c>
      <c r="F4" s="5">
        <v>5000</v>
      </c>
      <c r="G4" s="5">
        <v>5000</v>
      </c>
      <c r="H4" s="5">
        <v>3000</v>
      </c>
      <c r="I4" s="5">
        <v>5000</v>
      </c>
      <c r="J4" s="5">
        <v>3000</v>
      </c>
      <c r="K4" s="5">
        <v>9000</v>
      </c>
      <c r="L4" s="5">
        <v>3000</v>
      </c>
      <c r="M4" s="6">
        <f t="shared" ref="M4:M13" si="0">SUM(C4:L4)</f>
        <v>42000</v>
      </c>
      <c r="N4" s="5">
        <v>3000</v>
      </c>
      <c r="O4" s="5">
        <v>3000</v>
      </c>
      <c r="P4" s="5">
        <v>3000</v>
      </c>
      <c r="Q4" s="5">
        <v>5000</v>
      </c>
      <c r="R4" s="5">
        <v>3000</v>
      </c>
      <c r="S4" s="5">
        <v>5000</v>
      </c>
      <c r="T4" s="5">
        <v>600</v>
      </c>
      <c r="U4" s="5">
        <v>3000</v>
      </c>
      <c r="V4" s="5">
        <v>5000</v>
      </c>
      <c r="W4" s="5">
        <v>3000</v>
      </c>
      <c r="X4" s="5">
        <v>9000</v>
      </c>
      <c r="Y4" s="5">
        <v>3000</v>
      </c>
      <c r="Z4" s="6">
        <f t="shared" ref="Z4:Z13" si="1">SUM(N4:Y4)</f>
        <v>45600</v>
      </c>
      <c r="AA4" s="5">
        <v>3000</v>
      </c>
      <c r="AB4" s="5"/>
      <c r="AC4" s="5">
        <v>3000</v>
      </c>
      <c r="AD4" s="5">
        <v>5000</v>
      </c>
      <c r="AE4" s="5">
        <v>3000</v>
      </c>
      <c r="AF4" s="5">
        <v>5000</v>
      </c>
      <c r="AG4" s="5">
        <v>3000</v>
      </c>
      <c r="AH4" s="5">
        <v>5000</v>
      </c>
      <c r="AI4" s="5">
        <v>6000</v>
      </c>
      <c r="AJ4" s="5">
        <v>3000</v>
      </c>
      <c r="AK4" s="5">
        <v>3000</v>
      </c>
      <c r="AL4" s="5">
        <v>9000</v>
      </c>
      <c r="AM4" s="5">
        <v>3000</v>
      </c>
      <c r="AN4" s="6">
        <f t="shared" ref="AN4:AN13" si="2">SUM(AA4:AM4)</f>
        <v>51000</v>
      </c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6">
        <f t="shared" ref="BA4:BA13" si="3">SUM(AO4:AZ4)</f>
        <v>0</v>
      </c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6">
        <f t="shared" ref="BN4:BN13" si="4">SUM(BB4:BM4)</f>
        <v>0</v>
      </c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6">
        <f t="shared" ref="CA4:CA13" si="5">SUM(BO4:BZ4)</f>
        <v>0</v>
      </c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6">
        <f t="shared" ref="CN4:CN13" si="6">SUM(CB4:CM4)</f>
        <v>0</v>
      </c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6">
        <f t="shared" ref="DA4:DA13" si="7">SUM(CO4:CZ4)</f>
        <v>0</v>
      </c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6">
        <f t="shared" ref="DN4:DN13" si="8">SUM(DB4:DM4)</f>
        <v>0</v>
      </c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6">
        <f t="shared" ref="EA4:EA13" si="9">SUM(DO4:DZ4)</f>
        <v>0</v>
      </c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6">
        <f t="shared" ref="EN4:EN13" si="10">SUM(EB4:EM4)</f>
        <v>0</v>
      </c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6">
        <f t="shared" ref="FA4:FB13" si="11">SUM(EO4:EZ4)</f>
        <v>0</v>
      </c>
      <c r="FB4" s="6">
        <f t="shared" ref="FB4:FB8" si="12">FA4+EN4+EA4+DN4+DA4+CN4+CA4+BN4+BA4+AN4+Z4+M4</f>
        <v>138600</v>
      </c>
    </row>
    <row r="5" spans="2:158" ht="15" thickBot="1" x14ac:dyDescent="0.4">
      <c r="B5" s="12" t="s">
        <v>7</v>
      </c>
      <c r="C5" s="5">
        <v>1715.36</v>
      </c>
      <c r="D5" s="5">
        <v>424.29</v>
      </c>
      <c r="E5" s="5">
        <v>2896.52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4461.84</v>
      </c>
      <c r="L5" s="5">
        <v>552.74</v>
      </c>
      <c r="M5" s="6">
        <f t="shared" si="0"/>
        <v>10050.75</v>
      </c>
      <c r="N5" s="5">
        <v>2239.38</v>
      </c>
      <c r="O5" s="5">
        <v>371.33</v>
      </c>
      <c r="P5" s="5">
        <v>2831.83</v>
      </c>
      <c r="Q5" s="5">
        <v>10184.36</v>
      </c>
      <c r="R5" s="5"/>
      <c r="S5" s="5"/>
      <c r="T5" s="5"/>
      <c r="U5" s="5">
        <v>3028.51</v>
      </c>
      <c r="V5" s="5"/>
      <c r="W5" s="5"/>
      <c r="X5" s="5">
        <v>4269.3599999999997</v>
      </c>
      <c r="Y5" s="5">
        <v>2094.9899999999998</v>
      </c>
      <c r="Z5" s="6">
        <f t="shared" si="1"/>
        <v>25019.760000000002</v>
      </c>
      <c r="AA5" s="5">
        <v>4047.28</v>
      </c>
      <c r="AB5" s="5"/>
      <c r="AC5" s="5">
        <v>3812.34</v>
      </c>
      <c r="AD5" s="5">
        <v>12051.51</v>
      </c>
      <c r="AE5" s="5"/>
      <c r="AF5" s="5"/>
      <c r="AG5" s="5">
        <v>1591</v>
      </c>
      <c r="AH5" s="5"/>
      <c r="AI5" s="5"/>
      <c r="AJ5" s="5"/>
      <c r="AK5" s="5"/>
      <c r="AL5" s="5">
        <v>4746.71</v>
      </c>
      <c r="AM5" s="5">
        <v>1615.09</v>
      </c>
      <c r="AN5" s="6">
        <f t="shared" si="2"/>
        <v>27863.93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6">
        <f t="shared" si="3"/>
        <v>0</v>
      </c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6">
        <f t="shared" si="4"/>
        <v>0</v>
      </c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6">
        <f t="shared" si="5"/>
        <v>0</v>
      </c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6">
        <f t="shared" si="6"/>
        <v>0</v>
      </c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6">
        <f t="shared" si="7"/>
        <v>0</v>
      </c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6">
        <f t="shared" si="8"/>
        <v>0</v>
      </c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6">
        <f t="shared" si="9"/>
        <v>0</v>
      </c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6">
        <f t="shared" si="10"/>
        <v>0</v>
      </c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6">
        <f t="shared" si="11"/>
        <v>0</v>
      </c>
      <c r="FB5" s="6">
        <f t="shared" si="12"/>
        <v>62934.44</v>
      </c>
    </row>
    <row r="6" spans="2:158" ht="15" thickBot="1" x14ac:dyDescent="0.4">
      <c r="B6" s="12" t="s">
        <v>8</v>
      </c>
      <c r="C6" s="5">
        <v>0</v>
      </c>
      <c r="D6" s="5">
        <v>0</v>
      </c>
      <c r="E6" s="5">
        <v>0</v>
      </c>
      <c r="F6" s="5">
        <v>12000</v>
      </c>
      <c r="G6" s="5">
        <v>8000</v>
      </c>
      <c r="H6" s="5">
        <v>2000</v>
      </c>
      <c r="I6" s="5">
        <v>2000</v>
      </c>
      <c r="J6" s="5">
        <v>2000</v>
      </c>
      <c r="K6" s="5">
        <v>0</v>
      </c>
      <c r="L6" s="5">
        <v>0</v>
      </c>
      <c r="M6" s="6">
        <f t="shared" si="0"/>
        <v>26000</v>
      </c>
      <c r="N6" s="5"/>
      <c r="O6" s="5"/>
      <c r="P6" s="5"/>
      <c r="Q6" s="5"/>
      <c r="R6" s="5">
        <v>12000</v>
      </c>
      <c r="S6" s="5">
        <v>8000</v>
      </c>
      <c r="T6" s="5">
        <v>400</v>
      </c>
      <c r="U6" s="5"/>
      <c r="V6" s="5">
        <v>2000</v>
      </c>
      <c r="W6" s="5">
        <v>2000</v>
      </c>
      <c r="X6" s="5"/>
      <c r="Y6" s="5"/>
      <c r="Z6" s="6">
        <f t="shared" si="1"/>
        <v>24400</v>
      </c>
      <c r="AA6" s="5"/>
      <c r="AB6" s="5"/>
      <c r="AC6" s="5"/>
      <c r="AD6" s="5"/>
      <c r="AE6" s="5">
        <v>12000</v>
      </c>
      <c r="AF6" s="5">
        <v>8000</v>
      </c>
      <c r="AG6" s="5"/>
      <c r="AH6" s="5">
        <v>2000</v>
      </c>
      <c r="AI6" s="5"/>
      <c r="AJ6" s="5">
        <v>2000</v>
      </c>
      <c r="AK6" s="5">
        <v>2000</v>
      </c>
      <c r="AL6" s="5"/>
      <c r="AM6" s="5"/>
      <c r="AN6" s="6">
        <f t="shared" si="2"/>
        <v>26000</v>
      </c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6">
        <f t="shared" si="3"/>
        <v>0</v>
      </c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6">
        <f t="shared" si="4"/>
        <v>0</v>
      </c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6">
        <f t="shared" si="5"/>
        <v>0</v>
      </c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6">
        <f t="shared" si="6"/>
        <v>0</v>
      </c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6">
        <f t="shared" si="7"/>
        <v>0</v>
      </c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6">
        <f t="shared" si="8"/>
        <v>0</v>
      </c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6">
        <f t="shared" si="9"/>
        <v>0</v>
      </c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6">
        <f t="shared" si="10"/>
        <v>0</v>
      </c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6">
        <f t="shared" si="11"/>
        <v>0</v>
      </c>
      <c r="FB6" s="6">
        <f t="shared" si="12"/>
        <v>76400</v>
      </c>
    </row>
    <row r="7" spans="2:158" ht="15" thickBot="1" x14ac:dyDescent="0.4">
      <c r="B7" s="12" t="s">
        <v>32</v>
      </c>
      <c r="C7" s="5">
        <v>2000</v>
      </c>
      <c r="D7" s="5">
        <v>2000</v>
      </c>
      <c r="E7" s="5">
        <v>2000</v>
      </c>
      <c r="F7" s="5">
        <v>0</v>
      </c>
      <c r="G7" s="5">
        <v>0</v>
      </c>
      <c r="H7" s="5">
        <v>2000</v>
      </c>
      <c r="I7" s="5">
        <v>0</v>
      </c>
      <c r="J7" s="5">
        <v>2000</v>
      </c>
      <c r="K7" s="5">
        <v>0</v>
      </c>
      <c r="L7" s="5">
        <v>2000</v>
      </c>
      <c r="M7" s="6">
        <f t="shared" si="0"/>
        <v>12000</v>
      </c>
      <c r="N7" s="5">
        <v>2000</v>
      </c>
      <c r="O7" s="5">
        <v>2000</v>
      </c>
      <c r="P7" s="5">
        <v>2000</v>
      </c>
      <c r="Q7" s="5"/>
      <c r="R7" s="5">
        <v>2000</v>
      </c>
      <c r="S7" s="5"/>
      <c r="T7" s="5">
        <v>400</v>
      </c>
      <c r="U7" s="5">
        <v>2000</v>
      </c>
      <c r="V7" s="5"/>
      <c r="W7" s="5">
        <v>2000</v>
      </c>
      <c r="X7" s="5"/>
      <c r="Y7" s="5">
        <v>2000</v>
      </c>
      <c r="Z7" s="6">
        <f t="shared" si="1"/>
        <v>14400</v>
      </c>
      <c r="AA7" s="5">
        <v>2000</v>
      </c>
      <c r="AB7" s="5"/>
      <c r="AC7" s="5">
        <v>2000</v>
      </c>
      <c r="AD7" s="5"/>
      <c r="AE7" s="5">
        <v>2000</v>
      </c>
      <c r="AF7" s="5"/>
      <c r="AG7" s="5">
        <v>2000</v>
      </c>
      <c r="AH7" s="5"/>
      <c r="AI7" s="5"/>
      <c r="AJ7" s="5">
        <v>2000</v>
      </c>
      <c r="AK7" s="5">
        <v>2000</v>
      </c>
      <c r="AL7" s="5"/>
      <c r="AM7" s="5"/>
      <c r="AN7" s="6">
        <f t="shared" si="2"/>
        <v>12000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6">
        <f t="shared" si="3"/>
        <v>0</v>
      </c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6">
        <f t="shared" si="4"/>
        <v>0</v>
      </c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6">
        <f t="shared" si="5"/>
        <v>0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6">
        <f t="shared" si="6"/>
        <v>0</v>
      </c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6">
        <f t="shared" si="7"/>
        <v>0</v>
      </c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6">
        <f t="shared" si="8"/>
        <v>0</v>
      </c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6">
        <f t="shared" si="9"/>
        <v>0</v>
      </c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6">
        <f t="shared" si="10"/>
        <v>0</v>
      </c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6">
        <f t="shared" si="11"/>
        <v>0</v>
      </c>
      <c r="FB7" s="6">
        <f t="shared" si="12"/>
        <v>38400</v>
      </c>
    </row>
    <row r="8" spans="2:158" ht="15" thickBot="1" x14ac:dyDescent="0.4">
      <c r="B8" s="12" t="s">
        <v>2</v>
      </c>
      <c r="C8" s="5">
        <v>311.52</v>
      </c>
      <c r="D8" s="5">
        <v>0</v>
      </c>
      <c r="E8" s="5">
        <v>0</v>
      </c>
      <c r="F8" s="5">
        <v>303.73</v>
      </c>
      <c r="G8" s="5">
        <v>0</v>
      </c>
      <c r="H8" s="5">
        <v>198.05</v>
      </c>
      <c r="I8" s="5">
        <v>0</v>
      </c>
      <c r="J8" s="5">
        <v>0</v>
      </c>
      <c r="K8" s="5">
        <v>350</v>
      </c>
      <c r="L8" s="5">
        <v>0</v>
      </c>
      <c r="M8" s="6">
        <f t="shared" si="0"/>
        <v>1163.3</v>
      </c>
      <c r="N8" s="5">
        <v>311.52</v>
      </c>
      <c r="O8" s="5"/>
      <c r="P8" s="5"/>
      <c r="Q8" s="5"/>
      <c r="R8" s="5">
        <v>303.73</v>
      </c>
      <c r="S8" s="5"/>
      <c r="T8" s="5"/>
      <c r="U8" s="5">
        <v>198.05</v>
      </c>
      <c r="V8" s="5"/>
      <c r="W8" s="5"/>
      <c r="X8" s="5">
        <v>350</v>
      </c>
      <c r="Y8" s="5"/>
      <c r="Z8" s="6">
        <f t="shared" si="1"/>
        <v>1163.3</v>
      </c>
      <c r="AA8" s="5">
        <v>311.52</v>
      </c>
      <c r="AB8" s="5"/>
      <c r="AC8" s="5"/>
      <c r="AD8" s="5"/>
      <c r="AE8" s="5">
        <v>303.73</v>
      </c>
      <c r="AF8" s="5"/>
      <c r="AG8" s="5">
        <v>198.05</v>
      </c>
      <c r="AH8" s="5"/>
      <c r="AI8" s="5"/>
      <c r="AJ8" s="5"/>
      <c r="AK8" s="5"/>
      <c r="AL8" s="5">
        <v>350</v>
      </c>
      <c r="AM8" s="5"/>
      <c r="AN8" s="6">
        <f t="shared" si="2"/>
        <v>1163.3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6">
        <f t="shared" si="3"/>
        <v>0</v>
      </c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6">
        <f t="shared" si="4"/>
        <v>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6">
        <f t="shared" si="5"/>
        <v>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6">
        <f t="shared" si="6"/>
        <v>0</v>
      </c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6">
        <f t="shared" si="7"/>
        <v>0</v>
      </c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6">
        <f t="shared" si="8"/>
        <v>0</v>
      </c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6">
        <f t="shared" si="9"/>
        <v>0</v>
      </c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6">
        <f t="shared" si="10"/>
        <v>0</v>
      </c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6">
        <f t="shared" si="11"/>
        <v>0</v>
      </c>
      <c r="FB8" s="6">
        <f t="shared" si="12"/>
        <v>3489.8999999999996</v>
      </c>
    </row>
    <row r="9" spans="2:158" ht="15" thickBot="1" x14ac:dyDescent="0.4">
      <c r="B9" s="12" t="s">
        <v>30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6">
        <f t="shared" si="0"/>
        <v>0</v>
      </c>
      <c r="N9" s="5">
        <v>10</v>
      </c>
      <c r="O9" s="5">
        <v>61</v>
      </c>
      <c r="P9" s="5"/>
      <c r="Q9" s="5">
        <v>111.11</v>
      </c>
      <c r="R9" s="5"/>
      <c r="S9" s="5"/>
      <c r="T9" s="5"/>
      <c r="U9" s="5"/>
      <c r="V9" s="5"/>
      <c r="W9" s="5">
        <f>111.11+226</f>
        <v>337.11</v>
      </c>
      <c r="X9" s="5"/>
      <c r="Y9" s="5">
        <f>111.11+44</f>
        <v>155.11000000000001</v>
      </c>
      <c r="Z9" s="6">
        <f t="shared" si="1"/>
        <v>674.33</v>
      </c>
      <c r="AA9" s="5">
        <v>436.56</v>
      </c>
      <c r="AB9" s="5"/>
      <c r="AC9" s="5"/>
      <c r="AD9" s="16">
        <v>606</v>
      </c>
      <c r="AE9" s="5"/>
      <c r="AF9" s="5"/>
      <c r="AG9" s="5">
        <v>8</v>
      </c>
      <c r="AH9" s="5"/>
      <c r="AI9" s="5"/>
      <c r="AJ9" s="5"/>
      <c r="AK9" s="5">
        <v>366</v>
      </c>
      <c r="AL9" s="5"/>
      <c r="AM9" s="5">
        <v>59</v>
      </c>
      <c r="AN9" s="6">
        <f t="shared" si="2"/>
        <v>1475.56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6">
        <f t="shared" si="3"/>
        <v>0</v>
      </c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6">
        <f t="shared" si="4"/>
        <v>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6">
        <f t="shared" si="5"/>
        <v>0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6">
        <f t="shared" si="6"/>
        <v>0</v>
      </c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6">
        <f t="shared" si="7"/>
        <v>0</v>
      </c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6">
        <f t="shared" si="8"/>
        <v>0</v>
      </c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6">
        <f t="shared" si="9"/>
        <v>0</v>
      </c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6">
        <f t="shared" si="10"/>
        <v>0</v>
      </c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6">
        <f t="shared" si="11"/>
        <v>0</v>
      </c>
      <c r="FB9" s="6">
        <f t="shared" si="11"/>
        <v>0</v>
      </c>
    </row>
    <row r="10" spans="2:158" ht="15" thickBot="1" x14ac:dyDescent="0.4">
      <c r="B10" s="12" t="s">
        <v>34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  <c r="AA10" s="5"/>
      <c r="AB10" s="5"/>
      <c r="AC10" s="5"/>
      <c r="AD10" s="18"/>
      <c r="AE10" s="5"/>
      <c r="AF10" s="5"/>
      <c r="AG10" s="5"/>
      <c r="AH10" s="5"/>
      <c r="AI10" s="5"/>
      <c r="AJ10" s="5"/>
      <c r="AK10" s="5"/>
      <c r="AL10" s="5"/>
      <c r="AM10" s="5"/>
      <c r="AN10" s="6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6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6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6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6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6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6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6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6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6"/>
      <c r="FB10" s="6"/>
    </row>
    <row r="11" spans="2:158" s="3" customFormat="1" ht="15" thickBot="1" x14ac:dyDescent="0.4">
      <c r="B11" s="13" t="s">
        <v>5</v>
      </c>
      <c r="C11" s="7">
        <v>0</v>
      </c>
      <c r="D11" s="7">
        <v>0</v>
      </c>
      <c r="E11" s="7">
        <v>-314.85000000000002</v>
      </c>
      <c r="F11" s="7">
        <v>0</v>
      </c>
      <c r="G11" s="7">
        <v>-75</v>
      </c>
      <c r="H11" s="7">
        <v>0</v>
      </c>
      <c r="I11" s="7">
        <v>-145.5</v>
      </c>
      <c r="J11" s="7">
        <v>0</v>
      </c>
      <c r="K11" s="7">
        <v>0</v>
      </c>
      <c r="L11" s="7">
        <v>0</v>
      </c>
      <c r="M11" s="14">
        <f t="shared" si="0"/>
        <v>-535.35</v>
      </c>
      <c r="N11" s="7"/>
      <c r="O11" s="7"/>
      <c r="P11" s="7">
        <v>-314.85000000000002</v>
      </c>
      <c r="Q11" s="7"/>
      <c r="R11" s="7"/>
      <c r="S11" s="7"/>
      <c r="T11" s="7"/>
      <c r="U11" s="7"/>
      <c r="V11" s="7">
        <v>-145.5</v>
      </c>
      <c r="W11" s="7"/>
      <c r="X11" s="7"/>
      <c r="Y11" s="7"/>
      <c r="Z11" s="14">
        <f t="shared" si="1"/>
        <v>-460.35</v>
      </c>
      <c r="AA11" s="7"/>
      <c r="AB11" s="7"/>
      <c r="AC11" s="7">
        <v>-314.85000000000002</v>
      </c>
      <c r="AD11" s="7"/>
      <c r="AE11" s="7"/>
      <c r="AF11" s="7"/>
      <c r="AG11" s="7"/>
      <c r="AH11" s="7">
        <v>-145.5</v>
      </c>
      <c r="AI11" s="7"/>
      <c r="AJ11" s="7"/>
      <c r="AK11" s="7"/>
      <c r="AL11" s="7"/>
      <c r="AM11" s="7"/>
      <c r="AN11" s="14">
        <f t="shared" si="2"/>
        <v>-460.35</v>
      </c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14">
        <f t="shared" si="3"/>
        <v>0</v>
      </c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14">
        <f t="shared" si="4"/>
        <v>0</v>
      </c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14">
        <f t="shared" si="5"/>
        <v>0</v>
      </c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14">
        <f t="shared" si="6"/>
        <v>0</v>
      </c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14">
        <f t="shared" si="7"/>
        <v>0</v>
      </c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14">
        <f t="shared" si="8"/>
        <v>0</v>
      </c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14">
        <f t="shared" si="9"/>
        <v>0</v>
      </c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14">
        <f t="shared" si="10"/>
        <v>0</v>
      </c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14">
        <f t="shared" si="11"/>
        <v>0</v>
      </c>
      <c r="FB11" s="14">
        <f>FA11+EN11+EA11+DN11+DA11+CN11+CA11+BN11+BA11+AN11+Z11+M11</f>
        <v>-1456.0500000000002</v>
      </c>
    </row>
    <row r="12" spans="2:158" s="3" customFormat="1" ht="15" thickBot="1" x14ac:dyDescent="0.4">
      <c r="B12" s="13" t="s">
        <v>10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14">
        <f t="shared" si="0"/>
        <v>0</v>
      </c>
      <c r="N12" s="7"/>
      <c r="O12" s="7"/>
      <c r="P12" s="7"/>
      <c r="Q12" s="7">
        <v>-1263.03</v>
      </c>
      <c r="R12" s="7"/>
      <c r="S12" s="7"/>
      <c r="T12" s="7"/>
      <c r="U12" s="7"/>
      <c r="V12" s="7"/>
      <c r="W12" s="7"/>
      <c r="X12" s="7"/>
      <c r="Y12" s="7"/>
      <c r="Z12" s="14">
        <f t="shared" si="1"/>
        <v>-1263.03</v>
      </c>
      <c r="AA12" s="7"/>
      <c r="AB12" s="7"/>
      <c r="AC12" s="7"/>
      <c r="AD12" s="7">
        <v>-1257.1500000000001</v>
      </c>
      <c r="AE12" s="7"/>
      <c r="AF12" s="7"/>
      <c r="AG12" s="7"/>
      <c r="AH12" s="7"/>
      <c r="AI12" s="7"/>
      <c r="AJ12" s="7"/>
      <c r="AK12" s="7"/>
      <c r="AL12" s="7"/>
      <c r="AM12" s="7"/>
      <c r="AN12" s="14">
        <f t="shared" si="2"/>
        <v>-1257.1500000000001</v>
      </c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14">
        <f t="shared" si="3"/>
        <v>0</v>
      </c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14">
        <f t="shared" si="4"/>
        <v>0</v>
      </c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14">
        <f t="shared" si="5"/>
        <v>0</v>
      </c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14">
        <f t="shared" si="6"/>
        <v>0</v>
      </c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14">
        <f t="shared" si="7"/>
        <v>0</v>
      </c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14">
        <f t="shared" si="8"/>
        <v>0</v>
      </c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14">
        <f t="shared" si="9"/>
        <v>0</v>
      </c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14">
        <f t="shared" si="10"/>
        <v>0</v>
      </c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14">
        <f t="shared" si="11"/>
        <v>0</v>
      </c>
      <c r="FB12" s="14">
        <f>FA12+EN12+EA12+DN12+DA12+CN12+CA12+BN12+BA12+AN12+Z12+M12</f>
        <v>-2520.1800000000003</v>
      </c>
    </row>
    <row r="13" spans="2:158" s="3" customFormat="1" ht="16" thickBot="1" x14ac:dyDescent="0.4">
      <c r="B13" s="13" t="s">
        <v>11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14">
        <f t="shared" si="0"/>
        <v>0</v>
      </c>
      <c r="N13" s="7"/>
      <c r="O13" s="7"/>
      <c r="P13" s="7"/>
      <c r="Q13" s="7">
        <v>-1225.28</v>
      </c>
      <c r="R13" s="7"/>
      <c r="S13" s="7"/>
      <c r="T13" s="7"/>
      <c r="U13" s="7"/>
      <c r="V13" s="7"/>
      <c r="W13" s="7"/>
      <c r="X13" s="7"/>
      <c r="Y13" s="7"/>
      <c r="Z13" s="14">
        <f t="shared" si="1"/>
        <v>-1225.28</v>
      </c>
      <c r="AA13" s="7"/>
      <c r="AB13" s="7"/>
      <c r="AC13" s="7"/>
      <c r="AD13" s="7">
        <v>-1225.28</v>
      </c>
      <c r="AE13" s="17">
        <v>-136.66999999999999</v>
      </c>
      <c r="AF13" s="7"/>
      <c r="AG13" s="7"/>
      <c r="AH13" s="7"/>
      <c r="AI13" s="7"/>
      <c r="AJ13" s="7"/>
      <c r="AK13" s="7"/>
      <c r="AL13" s="7"/>
      <c r="AM13" s="7"/>
      <c r="AN13" s="14">
        <f t="shared" si="2"/>
        <v>-1361.95</v>
      </c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14">
        <f t="shared" si="3"/>
        <v>0</v>
      </c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14">
        <f t="shared" si="4"/>
        <v>0</v>
      </c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14">
        <f t="shared" si="5"/>
        <v>0</v>
      </c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14">
        <f t="shared" si="6"/>
        <v>0</v>
      </c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14">
        <f t="shared" si="7"/>
        <v>0</v>
      </c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14">
        <f t="shared" si="8"/>
        <v>0</v>
      </c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14">
        <f t="shared" si="9"/>
        <v>0</v>
      </c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14">
        <f t="shared" si="10"/>
        <v>0</v>
      </c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14">
        <f t="shared" si="11"/>
        <v>0</v>
      </c>
      <c r="FB13" s="14">
        <f>FA13+EN13+EA13+DN13+DA13+CN13+CA13+BN13+BA13+AN13+Z13+M13</f>
        <v>-2587.23</v>
      </c>
    </row>
    <row r="14" spans="2:158" s="1" customFormat="1" ht="15" thickBot="1" x14ac:dyDescent="0.4">
      <c r="B14" s="8" t="s">
        <v>3</v>
      </c>
      <c r="C14" s="9">
        <f t="shared" ref="C14:AH14" si="13">SUM(C4:C13)</f>
        <v>7026.8799999999992</v>
      </c>
      <c r="D14" s="9">
        <f t="shared" si="13"/>
        <v>5424.29</v>
      </c>
      <c r="E14" s="9">
        <f t="shared" si="13"/>
        <v>7581.67</v>
      </c>
      <c r="F14" s="9">
        <f t="shared" si="13"/>
        <v>17303.73</v>
      </c>
      <c r="G14" s="9">
        <f t="shared" si="13"/>
        <v>12925</v>
      </c>
      <c r="H14" s="9">
        <f t="shared" si="13"/>
        <v>7198.05</v>
      </c>
      <c r="I14" s="9">
        <f t="shared" si="13"/>
        <v>6854.5</v>
      </c>
      <c r="J14" s="9">
        <f t="shared" si="13"/>
        <v>7000</v>
      </c>
      <c r="K14" s="9">
        <f t="shared" si="13"/>
        <v>13811.84</v>
      </c>
      <c r="L14" s="9">
        <f t="shared" si="13"/>
        <v>5552.74</v>
      </c>
      <c r="M14" s="6">
        <f t="shared" si="13"/>
        <v>90678.7</v>
      </c>
      <c r="N14" s="9">
        <f t="shared" si="13"/>
        <v>7560.9</v>
      </c>
      <c r="O14" s="9">
        <f t="shared" si="13"/>
        <v>5432.33</v>
      </c>
      <c r="P14" s="9">
        <f t="shared" si="13"/>
        <v>7516.98</v>
      </c>
      <c r="Q14" s="9">
        <f t="shared" si="13"/>
        <v>12807.16</v>
      </c>
      <c r="R14" s="9">
        <f t="shared" si="13"/>
        <v>17303.73</v>
      </c>
      <c r="S14" s="9">
        <f t="shared" si="13"/>
        <v>13000</v>
      </c>
      <c r="T14" s="9">
        <f t="shared" si="13"/>
        <v>1400</v>
      </c>
      <c r="U14" s="9">
        <f t="shared" si="13"/>
        <v>8226.56</v>
      </c>
      <c r="V14" s="9">
        <f t="shared" si="13"/>
        <v>6854.5</v>
      </c>
      <c r="W14" s="9">
        <f t="shared" si="13"/>
        <v>7337.11</v>
      </c>
      <c r="X14" s="9">
        <f t="shared" si="13"/>
        <v>13619.36</v>
      </c>
      <c r="Y14" s="9">
        <f t="shared" si="13"/>
        <v>7250.0999999999995</v>
      </c>
      <c r="Z14" s="6">
        <f t="shared" si="13"/>
        <v>108308.73000000001</v>
      </c>
      <c r="AA14" s="9">
        <f t="shared" si="13"/>
        <v>9795.36</v>
      </c>
      <c r="AB14" s="9">
        <f t="shared" si="13"/>
        <v>0</v>
      </c>
      <c r="AC14" s="9">
        <f t="shared" si="13"/>
        <v>8497.49</v>
      </c>
      <c r="AD14" s="9">
        <f t="shared" si="13"/>
        <v>15175.08</v>
      </c>
      <c r="AE14" s="9">
        <f t="shared" si="13"/>
        <v>17167.060000000001</v>
      </c>
      <c r="AF14" s="9">
        <f t="shared" si="13"/>
        <v>13000</v>
      </c>
      <c r="AG14" s="9">
        <f t="shared" si="13"/>
        <v>6797.05</v>
      </c>
      <c r="AH14" s="9">
        <f t="shared" si="13"/>
        <v>6854.5</v>
      </c>
      <c r="AI14" s="9"/>
      <c r="AJ14" s="9">
        <f t="shared" ref="AJ14:BO14" si="14">SUM(AJ4:AJ13)</f>
        <v>7000</v>
      </c>
      <c r="AK14" s="9">
        <f t="shared" si="14"/>
        <v>7366</v>
      </c>
      <c r="AL14" s="9">
        <f t="shared" si="14"/>
        <v>14096.71</v>
      </c>
      <c r="AM14" s="9">
        <f t="shared" si="14"/>
        <v>4674.09</v>
      </c>
      <c r="AN14" s="6">
        <f t="shared" si="14"/>
        <v>116423.34</v>
      </c>
      <c r="AO14" s="9">
        <f t="shared" si="14"/>
        <v>0</v>
      </c>
      <c r="AP14" s="9">
        <f t="shared" si="14"/>
        <v>0</v>
      </c>
      <c r="AQ14" s="9">
        <f t="shared" si="14"/>
        <v>0</v>
      </c>
      <c r="AR14" s="9">
        <f t="shared" si="14"/>
        <v>0</v>
      </c>
      <c r="AS14" s="9">
        <f t="shared" si="14"/>
        <v>0</v>
      </c>
      <c r="AT14" s="9">
        <f t="shared" si="14"/>
        <v>0</v>
      </c>
      <c r="AU14" s="9">
        <f t="shared" si="14"/>
        <v>0</v>
      </c>
      <c r="AV14" s="9">
        <f t="shared" si="14"/>
        <v>0</v>
      </c>
      <c r="AW14" s="9">
        <f t="shared" si="14"/>
        <v>0</v>
      </c>
      <c r="AX14" s="9">
        <f t="shared" si="14"/>
        <v>0</v>
      </c>
      <c r="AY14" s="9">
        <f t="shared" si="14"/>
        <v>0</v>
      </c>
      <c r="AZ14" s="9">
        <f t="shared" si="14"/>
        <v>0</v>
      </c>
      <c r="BA14" s="6">
        <f t="shared" si="14"/>
        <v>0</v>
      </c>
      <c r="BB14" s="9">
        <f t="shared" si="14"/>
        <v>0</v>
      </c>
      <c r="BC14" s="9">
        <f t="shared" si="14"/>
        <v>0</v>
      </c>
      <c r="BD14" s="9">
        <f t="shared" si="14"/>
        <v>0</v>
      </c>
      <c r="BE14" s="9">
        <f t="shared" si="14"/>
        <v>0</v>
      </c>
      <c r="BF14" s="9">
        <f t="shared" si="14"/>
        <v>0</v>
      </c>
      <c r="BG14" s="9">
        <f t="shared" si="14"/>
        <v>0</v>
      </c>
      <c r="BH14" s="9">
        <f t="shared" si="14"/>
        <v>0</v>
      </c>
      <c r="BI14" s="9">
        <f t="shared" si="14"/>
        <v>0</v>
      </c>
      <c r="BJ14" s="9">
        <f t="shared" si="14"/>
        <v>0</v>
      </c>
      <c r="BK14" s="9">
        <f t="shared" si="14"/>
        <v>0</v>
      </c>
      <c r="BL14" s="9">
        <f t="shared" si="14"/>
        <v>0</v>
      </c>
      <c r="BM14" s="9">
        <f t="shared" si="14"/>
        <v>0</v>
      </c>
      <c r="BN14" s="6">
        <f t="shared" si="14"/>
        <v>0</v>
      </c>
      <c r="BO14" s="9">
        <f t="shared" si="14"/>
        <v>0</v>
      </c>
      <c r="BP14" s="9">
        <f t="shared" ref="BP14:CU14" si="15">SUM(BP4:BP13)</f>
        <v>0</v>
      </c>
      <c r="BQ14" s="9">
        <f t="shared" si="15"/>
        <v>0</v>
      </c>
      <c r="BR14" s="9">
        <f t="shared" si="15"/>
        <v>0</v>
      </c>
      <c r="BS14" s="9">
        <f t="shared" si="15"/>
        <v>0</v>
      </c>
      <c r="BT14" s="9">
        <f t="shared" si="15"/>
        <v>0</v>
      </c>
      <c r="BU14" s="9">
        <f t="shared" si="15"/>
        <v>0</v>
      </c>
      <c r="BV14" s="9">
        <f t="shared" si="15"/>
        <v>0</v>
      </c>
      <c r="BW14" s="9">
        <f t="shared" si="15"/>
        <v>0</v>
      </c>
      <c r="BX14" s="9">
        <f t="shared" si="15"/>
        <v>0</v>
      </c>
      <c r="BY14" s="9">
        <f t="shared" si="15"/>
        <v>0</v>
      </c>
      <c r="BZ14" s="9">
        <f t="shared" si="15"/>
        <v>0</v>
      </c>
      <c r="CA14" s="6">
        <f t="shared" si="15"/>
        <v>0</v>
      </c>
      <c r="CB14" s="9">
        <f t="shared" si="15"/>
        <v>0</v>
      </c>
      <c r="CC14" s="9">
        <f t="shared" si="15"/>
        <v>0</v>
      </c>
      <c r="CD14" s="9">
        <f t="shared" si="15"/>
        <v>0</v>
      </c>
      <c r="CE14" s="9">
        <f t="shared" si="15"/>
        <v>0</v>
      </c>
      <c r="CF14" s="9">
        <f t="shared" si="15"/>
        <v>0</v>
      </c>
      <c r="CG14" s="9">
        <f t="shared" si="15"/>
        <v>0</v>
      </c>
      <c r="CH14" s="9">
        <f t="shared" si="15"/>
        <v>0</v>
      </c>
      <c r="CI14" s="9">
        <f t="shared" si="15"/>
        <v>0</v>
      </c>
      <c r="CJ14" s="9">
        <f t="shared" si="15"/>
        <v>0</v>
      </c>
      <c r="CK14" s="9">
        <f t="shared" si="15"/>
        <v>0</v>
      </c>
      <c r="CL14" s="9">
        <f t="shared" si="15"/>
        <v>0</v>
      </c>
      <c r="CM14" s="9">
        <f t="shared" si="15"/>
        <v>0</v>
      </c>
      <c r="CN14" s="6">
        <f t="shared" si="15"/>
        <v>0</v>
      </c>
      <c r="CO14" s="9">
        <f t="shared" si="15"/>
        <v>0</v>
      </c>
      <c r="CP14" s="9">
        <f t="shared" si="15"/>
        <v>0</v>
      </c>
      <c r="CQ14" s="9">
        <f t="shared" si="15"/>
        <v>0</v>
      </c>
      <c r="CR14" s="9">
        <f t="shared" si="15"/>
        <v>0</v>
      </c>
      <c r="CS14" s="9">
        <f t="shared" si="15"/>
        <v>0</v>
      </c>
      <c r="CT14" s="9">
        <f t="shared" si="15"/>
        <v>0</v>
      </c>
      <c r="CU14" s="9">
        <f t="shared" si="15"/>
        <v>0</v>
      </c>
      <c r="CV14" s="9">
        <f t="shared" ref="CV14:EA14" si="16">SUM(CV4:CV13)</f>
        <v>0</v>
      </c>
      <c r="CW14" s="9">
        <f t="shared" si="16"/>
        <v>0</v>
      </c>
      <c r="CX14" s="9">
        <f t="shared" si="16"/>
        <v>0</v>
      </c>
      <c r="CY14" s="9">
        <f t="shared" si="16"/>
        <v>0</v>
      </c>
      <c r="CZ14" s="9">
        <f t="shared" si="16"/>
        <v>0</v>
      </c>
      <c r="DA14" s="6">
        <f t="shared" si="16"/>
        <v>0</v>
      </c>
      <c r="DB14" s="9">
        <f t="shared" si="16"/>
        <v>0</v>
      </c>
      <c r="DC14" s="9">
        <f t="shared" si="16"/>
        <v>0</v>
      </c>
      <c r="DD14" s="9">
        <f t="shared" si="16"/>
        <v>0</v>
      </c>
      <c r="DE14" s="9">
        <f t="shared" si="16"/>
        <v>0</v>
      </c>
      <c r="DF14" s="9">
        <f t="shared" si="16"/>
        <v>0</v>
      </c>
      <c r="DG14" s="9">
        <f t="shared" si="16"/>
        <v>0</v>
      </c>
      <c r="DH14" s="9">
        <f t="shared" si="16"/>
        <v>0</v>
      </c>
      <c r="DI14" s="9">
        <f t="shared" si="16"/>
        <v>0</v>
      </c>
      <c r="DJ14" s="9">
        <f t="shared" si="16"/>
        <v>0</v>
      </c>
      <c r="DK14" s="9">
        <f t="shared" si="16"/>
        <v>0</v>
      </c>
      <c r="DL14" s="9">
        <f t="shared" si="16"/>
        <v>0</v>
      </c>
      <c r="DM14" s="9">
        <f t="shared" si="16"/>
        <v>0</v>
      </c>
      <c r="DN14" s="6">
        <f t="shared" si="16"/>
        <v>0</v>
      </c>
      <c r="DO14" s="9">
        <f t="shared" si="16"/>
        <v>0</v>
      </c>
      <c r="DP14" s="9">
        <f t="shared" si="16"/>
        <v>0</v>
      </c>
      <c r="DQ14" s="9">
        <f t="shared" si="16"/>
        <v>0</v>
      </c>
      <c r="DR14" s="9">
        <f t="shared" si="16"/>
        <v>0</v>
      </c>
      <c r="DS14" s="9">
        <f t="shared" si="16"/>
        <v>0</v>
      </c>
      <c r="DT14" s="9">
        <f t="shared" si="16"/>
        <v>0</v>
      </c>
      <c r="DU14" s="9">
        <f t="shared" si="16"/>
        <v>0</v>
      </c>
      <c r="DV14" s="9">
        <f t="shared" si="16"/>
        <v>0</v>
      </c>
      <c r="DW14" s="9">
        <f t="shared" si="16"/>
        <v>0</v>
      </c>
      <c r="DX14" s="9">
        <f t="shared" si="16"/>
        <v>0</v>
      </c>
      <c r="DY14" s="9">
        <f t="shared" si="16"/>
        <v>0</v>
      </c>
      <c r="DZ14" s="9">
        <f t="shared" si="16"/>
        <v>0</v>
      </c>
      <c r="EA14" s="6">
        <f t="shared" si="16"/>
        <v>0</v>
      </c>
      <c r="EB14" s="9">
        <f t="shared" ref="EB14:ER14" si="17">SUM(EB4:EB13)</f>
        <v>0</v>
      </c>
      <c r="EC14" s="9">
        <f t="shared" si="17"/>
        <v>0</v>
      </c>
      <c r="ED14" s="9">
        <f t="shared" si="17"/>
        <v>0</v>
      </c>
      <c r="EE14" s="9">
        <f t="shared" si="17"/>
        <v>0</v>
      </c>
      <c r="EF14" s="9">
        <f t="shared" si="17"/>
        <v>0</v>
      </c>
      <c r="EG14" s="9">
        <f t="shared" si="17"/>
        <v>0</v>
      </c>
      <c r="EH14" s="9">
        <f t="shared" si="17"/>
        <v>0</v>
      </c>
      <c r="EI14" s="9">
        <f t="shared" si="17"/>
        <v>0</v>
      </c>
      <c r="EJ14" s="9">
        <f t="shared" si="17"/>
        <v>0</v>
      </c>
      <c r="EK14" s="9">
        <f t="shared" si="17"/>
        <v>0</v>
      </c>
      <c r="EL14" s="9">
        <f t="shared" si="17"/>
        <v>0</v>
      </c>
      <c r="EM14" s="9">
        <f t="shared" si="17"/>
        <v>0</v>
      </c>
      <c r="EN14" s="6">
        <f t="shared" si="17"/>
        <v>0</v>
      </c>
      <c r="EO14" s="9">
        <f t="shared" si="17"/>
        <v>0</v>
      </c>
      <c r="EP14" s="9">
        <f t="shared" si="17"/>
        <v>0</v>
      </c>
      <c r="EQ14" s="9">
        <f t="shared" si="17"/>
        <v>0</v>
      </c>
      <c r="ER14" s="9">
        <f t="shared" si="17"/>
        <v>0</v>
      </c>
      <c r="ES14" s="9">
        <f t="shared" ref="ES14:EZ14" si="18">SUM(ES4:ES13)</f>
        <v>0</v>
      </c>
      <c r="ET14" s="9">
        <f t="shared" si="18"/>
        <v>0</v>
      </c>
      <c r="EU14" s="9">
        <f t="shared" si="18"/>
        <v>0</v>
      </c>
      <c r="EV14" s="9">
        <f t="shared" si="18"/>
        <v>0</v>
      </c>
      <c r="EW14" s="9">
        <f t="shared" si="18"/>
        <v>0</v>
      </c>
      <c r="EX14" s="9">
        <f t="shared" si="18"/>
        <v>0</v>
      </c>
      <c r="EY14" s="9">
        <f t="shared" si="18"/>
        <v>0</v>
      </c>
      <c r="EZ14" s="9">
        <f t="shared" si="18"/>
        <v>0</v>
      </c>
      <c r="FA14" s="6">
        <f>SUM(FA4:FA13)</f>
        <v>0</v>
      </c>
      <c r="FB14" s="6">
        <f>SUM(FB4:FB13)</f>
        <v>313260.88000000006</v>
      </c>
    </row>
  </sheetData>
  <mergeCells count="12">
    <mergeCell ref="EO1:FA1"/>
    <mergeCell ref="AO1:BA1"/>
    <mergeCell ref="BB1:BN1"/>
    <mergeCell ref="BO1:CA1"/>
    <mergeCell ref="CB1:CN1"/>
    <mergeCell ref="CO1:DA1"/>
    <mergeCell ref="DB1:DN1"/>
    <mergeCell ref="C1:M1"/>
    <mergeCell ref="N1:Z1"/>
    <mergeCell ref="AA1:AN1"/>
    <mergeCell ref="DO1:EA1"/>
    <mergeCell ref="EB1:EN1"/>
  </mergeCells>
  <phoneticPr fontId="5" type="noConversion"/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C9B78-E9BD-4B95-AF4E-404F3068B510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adm1</dc:creator>
  <cp:lastModifiedBy>Karina Saucedo</cp:lastModifiedBy>
  <dcterms:created xsi:type="dcterms:W3CDTF">2026-03-03T12:00:16Z</dcterms:created>
  <dcterms:modified xsi:type="dcterms:W3CDTF">2026-04-14T15:05:22Z</dcterms:modified>
</cp:coreProperties>
</file>