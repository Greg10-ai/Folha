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B43A1D5-816D-44F1-B517-D7D8BC33A39E}" xr6:coauthVersionLast="47" xr6:coauthVersionMax="47" xr10:uidLastSave="{00000000-0000-0000-0000-000000000000}"/>
  <bookViews>
    <workbookView xWindow="-28920" yWindow="-120" windowWidth="29040" windowHeight="15720" xr2:uid="{6CC576B0-120C-4B6E-8333-B8679755D0C9}"/>
  </bookViews>
  <sheets>
    <sheet name="PJ" sheetId="2" r:id="rId1"/>
    <sheet name="Adiantament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2" i="2" l="1"/>
  <c r="S86" i="2"/>
  <c r="S87" i="2" s="1"/>
  <c r="S88" i="2" s="1"/>
  <c r="S89" i="2" s="1"/>
  <c r="S90" i="2" s="1"/>
  <c r="Q86" i="2"/>
  <c r="Q87" i="2" s="1"/>
  <c r="V85" i="2"/>
  <c r="U85" i="2"/>
  <c r="S77" i="2"/>
  <c r="S78" i="2" s="1"/>
  <c r="S79" i="2" s="1"/>
  <c r="S80" i="2" s="1"/>
  <c r="S81" i="2" s="1"/>
  <c r="Q77" i="2"/>
  <c r="Q78" i="2" s="1"/>
  <c r="V76" i="2"/>
  <c r="U76" i="2"/>
  <c r="S93" i="2" l="1"/>
  <c r="S91" i="2"/>
  <c r="S92" i="2" s="1"/>
  <c r="V87" i="2"/>
  <c r="Q88" i="2"/>
  <c r="V86" i="2"/>
  <c r="V78" i="2"/>
  <c r="Q79" i="2"/>
  <c r="S84" i="2"/>
  <c r="S82" i="2"/>
  <c r="S83" i="2" s="1"/>
  <c r="V77" i="2"/>
  <c r="Q89" i="2" l="1"/>
  <c r="V88" i="2"/>
  <c r="V79" i="2"/>
  <c r="Q80" i="2"/>
  <c r="V89" i="2" l="1"/>
  <c r="Q90" i="2"/>
  <c r="V80" i="2"/>
  <c r="Q81" i="2"/>
  <c r="Q93" i="2" l="1"/>
  <c r="V93" i="2" s="1"/>
  <c r="Q91" i="2"/>
  <c r="V90" i="2"/>
  <c r="V81" i="2"/>
  <c r="Q84" i="2"/>
  <c r="V84" i="2" s="1"/>
  <c r="Q82" i="2"/>
  <c r="Q92" i="2" l="1"/>
  <c r="V92" i="2" s="1"/>
  <c r="V91" i="2"/>
  <c r="V82" i="2"/>
  <c r="Q83" i="2"/>
  <c r="V83" i="2" s="1"/>
  <c r="S26" i="3" l="1"/>
  <c r="R26" i="3"/>
  <c r="Q26" i="3"/>
  <c r="V25" i="3"/>
  <c r="U25" i="3"/>
  <c r="S22" i="3"/>
  <c r="R22" i="3"/>
  <c r="Q22" i="3"/>
  <c r="V21" i="3"/>
  <c r="U21" i="3"/>
  <c r="S14" i="3"/>
  <c r="R14" i="3"/>
  <c r="Q14" i="3"/>
  <c r="V13" i="3"/>
  <c r="U13" i="3"/>
  <c r="Q10" i="3"/>
  <c r="S10" i="3"/>
  <c r="R10" i="3"/>
  <c r="V9" i="3"/>
  <c r="U9" i="3"/>
  <c r="U3" i="3"/>
  <c r="S28" i="3"/>
  <c r="R28" i="3"/>
  <c r="Q28" i="3"/>
  <c r="V27" i="3"/>
  <c r="U27" i="3"/>
  <c r="S24" i="3"/>
  <c r="R24" i="3"/>
  <c r="Q24" i="3"/>
  <c r="V23" i="3"/>
  <c r="U23" i="3"/>
  <c r="S20" i="3"/>
  <c r="R20" i="3"/>
  <c r="Q20" i="3"/>
  <c r="V19" i="3"/>
  <c r="U19" i="3"/>
  <c r="S18" i="3"/>
  <c r="R18" i="3"/>
  <c r="Q18" i="3"/>
  <c r="V17" i="3"/>
  <c r="U17" i="3"/>
  <c r="S16" i="3"/>
  <c r="R16" i="3"/>
  <c r="Q16" i="3"/>
  <c r="V15" i="3"/>
  <c r="U15" i="3"/>
  <c r="S12" i="3"/>
  <c r="R12" i="3"/>
  <c r="Q12" i="3"/>
  <c r="V11" i="3"/>
  <c r="U11" i="3"/>
  <c r="S8" i="3"/>
  <c r="R8" i="3"/>
  <c r="Q8" i="3"/>
  <c r="V7" i="3"/>
  <c r="U7" i="3"/>
  <c r="S6" i="3"/>
  <c r="R6" i="3"/>
  <c r="Q6" i="3"/>
  <c r="V5" i="3"/>
  <c r="U5" i="3"/>
  <c r="S4" i="3"/>
  <c r="R4" i="3"/>
  <c r="Q4" i="3"/>
  <c r="V3" i="3"/>
  <c r="U3" i="2"/>
  <c r="V3" i="2"/>
  <c r="Q4" i="2"/>
  <c r="Q5" i="2" s="1"/>
  <c r="Q6" i="2" s="1"/>
  <c r="Q7" i="2" s="1"/>
  <c r="Q8" i="2" s="1"/>
  <c r="Q9" i="2" s="1"/>
  <c r="Q11" i="2" s="1"/>
  <c r="S4" i="2"/>
  <c r="S5" i="2" s="1"/>
  <c r="S6" i="2" s="1"/>
  <c r="S7" i="2" s="1"/>
  <c r="S8" i="2" s="1"/>
  <c r="S9" i="2" s="1"/>
  <c r="S11" i="2" s="1"/>
  <c r="V12" i="2"/>
  <c r="Q13" i="2"/>
  <c r="Q14" i="2" s="1"/>
  <c r="Q15" i="2" s="1"/>
  <c r="Q16" i="2" s="1"/>
  <c r="Q17" i="2" s="1"/>
  <c r="S13" i="2"/>
  <c r="S14" i="2" s="1"/>
  <c r="S15" i="2" s="1"/>
  <c r="S16" i="2" s="1"/>
  <c r="S17" i="2" s="1"/>
  <c r="U21" i="2"/>
  <c r="V21" i="2"/>
  <c r="Q22" i="2"/>
  <c r="Q23" i="2" s="1"/>
  <c r="Q24" i="2" s="1"/>
  <c r="Q25" i="2" s="1"/>
  <c r="Q26" i="2" s="1"/>
  <c r="S22" i="2"/>
  <c r="S23" i="2" s="1"/>
  <c r="S24" i="2" s="1"/>
  <c r="S25" i="2" s="1"/>
  <c r="S26" i="2" s="1"/>
  <c r="U30" i="2"/>
  <c r="V30" i="2"/>
  <c r="Q31" i="2"/>
  <c r="Q32" i="2" s="1"/>
  <c r="Q33" i="2" s="1"/>
  <c r="Q34" i="2" s="1"/>
  <c r="Q35" i="2" s="1"/>
  <c r="Q36" i="2" s="1"/>
  <c r="S31" i="2"/>
  <c r="S32" i="2" s="1"/>
  <c r="S33" i="2" s="1"/>
  <c r="S34" i="2" s="1"/>
  <c r="S35" i="2" s="1"/>
  <c r="S36" i="2" s="1"/>
  <c r="U40" i="2"/>
  <c r="V40" i="2"/>
  <c r="Q41" i="2"/>
  <c r="Q42" i="2" s="1"/>
  <c r="S41" i="2"/>
  <c r="S42" i="2" s="1"/>
  <c r="S43" i="2" s="1"/>
  <c r="S44" i="2" s="1"/>
  <c r="S45" i="2" s="1"/>
  <c r="U49" i="2"/>
  <c r="V49" i="2"/>
  <c r="Q50" i="2"/>
  <c r="Q51" i="2" s="1"/>
  <c r="Q52" i="2" s="1"/>
  <c r="Q53" i="2" s="1"/>
  <c r="Q54" i="2" s="1"/>
  <c r="S50" i="2"/>
  <c r="S51" i="2" s="1"/>
  <c r="S52" i="2" s="1"/>
  <c r="S53" i="2" s="1"/>
  <c r="S54" i="2" s="1"/>
  <c r="U58" i="2"/>
  <c r="V58" i="2"/>
  <c r="Q59" i="2"/>
  <c r="S59" i="2"/>
  <c r="S60" i="2" s="1"/>
  <c r="S61" i="2" s="1"/>
  <c r="S62" i="2" s="1"/>
  <c r="S63" i="2" s="1"/>
  <c r="U67" i="2"/>
  <c r="V67" i="2"/>
  <c r="Q68" i="2"/>
  <c r="S68" i="2"/>
  <c r="S69" i="2" s="1"/>
  <c r="S70" i="2" s="1"/>
  <c r="S71" i="2" s="1"/>
  <c r="S72" i="2" s="1"/>
  <c r="V26" i="3" l="1"/>
  <c r="V22" i="3"/>
  <c r="V14" i="3"/>
  <c r="V10" i="3"/>
  <c r="V8" i="3"/>
  <c r="V12" i="3"/>
  <c r="V24" i="3"/>
  <c r="V18" i="3"/>
  <c r="V20" i="3"/>
  <c r="V6" i="3"/>
  <c r="V4" i="3"/>
  <c r="V16" i="3"/>
  <c r="V28" i="3"/>
  <c r="S10" i="2"/>
  <c r="Q10" i="2"/>
  <c r="V50" i="2"/>
  <c r="S46" i="2"/>
  <c r="S47" i="2" s="1"/>
  <c r="S48" i="2"/>
  <c r="Q43" i="2"/>
  <c r="Q44" i="2" s="1"/>
  <c r="Q45" i="2" s="1"/>
  <c r="V42" i="2"/>
  <c r="V41" i="2"/>
  <c r="V4" i="2"/>
  <c r="V59" i="2"/>
  <c r="S39" i="2"/>
  <c r="S37" i="2"/>
  <c r="S38" i="2" s="1"/>
  <c r="S18" i="2"/>
  <c r="S19" i="2" s="1"/>
  <c r="S20" i="2"/>
  <c r="V25" i="2"/>
  <c r="S75" i="2"/>
  <c r="S73" i="2"/>
  <c r="S74" i="2" s="1"/>
  <c r="S64" i="2"/>
  <c r="S65" i="2" s="1"/>
  <c r="S66" i="2"/>
  <c r="Q29" i="2"/>
  <c r="Q27" i="2"/>
  <c r="Q28" i="2" s="1"/>
  <c r="Q20" i="2"/>
  <c r="Q18" i="2"/>
  <c r="Q19" i="2" s="1"/>
  <c r="Q37" i="2"/>
  <c r="Q38" i="2" s="1"/>
  <c r="Q39" i="2"/>
  <c r="S29" i="2"/>
  <c r="S27" i="2"/>
  <c r="S28" i="2" s="1"/>
  <c r="V15" i="2"/>
  <c r="Q60" i="2"/>
  <c r="V31" i="2"/>
  <c r="V14" i="2"/>
  <c r="V68" i="2"/>
  <c r="V22" i="2"/>
  <c r="V24" i="2"/>
  <c r="Q69" i="2"/>
  <c r="V23" i="2"/>
  <c r="V13" i="2"/>
  <c r="S55" i="2"/>
  <c r="S56" i="2" s="1"/>
  <c r="S57" i="2"/>
  <c r="Q57" i="2"/>
  <c r="Q55" i="2"/>
  <c r="Q56" i="2" s="1"/>
  <c r="Q46" i="2" l="1"/>
  <c r="Q47" i="2" s="1"/>
  <c r="Q48" i="2"/>
  <c r="V43" i="2"/>
  <c r="V44" i="2"/>
  <c r="V51" i="2"/>
  <c r="V69" i="2"/>
  <c r="Q70" i="2"/>
  <c r="V32" i="2"/>
  <c r="V5" i="2"/>
  <c r="V60" i="2"/>
  <c r="Q61" i="2"/>
  <c r="V26" i="2"/>
  <c r="V29" i="2"/>
  <c r="V16" i="2"/>
  <c r="V27" i="2" l="1"/>
  <c r="V28" i="2"/>
  <c r="V48" i="2"/>
  <c r="V45" i="2"/>
  <c r="V6" i="2"/>
  <c r="V70" i="2"/>
  <c r="Q71" i="2"/>
  <c r="V61" i="2"/>
  <c r="Q62" i="2"/>
  <c r="V33" i="2"/>
  <c r="V52" i="2"/>
  <c r="V17" i="2"/>
  <c r="V20" i="2"/>
  <c r="V46" i="2" l="1"/>
  <c r="V47" i="2"/>
  <c r="V18" i="2"/>
  <c r="V19" i="2"/>
  <c r="V71" i="2"/>
  <c r="Q72" i="2"/>
  <c r="V53" i="2"/>
  <c r="V62" i="2"/>
  <c r="Q63" i="2"/>
  <c r="V7" i="2"/>
  <c r="V34" i="2"/>
  <c r="V36" i="2"/>
  <c r="V8" i="2" l="1"/>
  <c r="V10" i="2"/>
  <c r="V63" i="2"/>
  <c r="Q66" i="2"/>
  <c r="V66" i="2" s="1"/>
  <c r="Q64" i="2"/>
  <c r="V72" i="2"/>
  <c r="Q73" i="2"/>
  <c r="Q75" i="2"/>
  <c r="V75" i="2" s="1"/>
  <c r="V35" i="2"/>
  <c r="V39" i="2"/>
  <c r="V57" i="2"/>
  <c r="V54" i="2"/>
  <c r="V73" i="2" l="1"/>
  <c r="Q74" i="2"/>
  <c r="V74" i="2" s="1"/>
  <c r="V64" i="2"/>
  <c r="Q65" i="2"/>
  <c r="V65" i="2" s="1"/>
  <c r="V55" i="2"/>
  <c r="V56" i="2"/>
  <c r="V37" i="2"/>
  <c r="V38" i="2"/>
  <c r="V9" i="2"/>
  <c r="V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adm1</author>
  </authors>
  <commentList>
    <comment ref="P4" authorId="0" shapeId="0" xr:uid="{520E8985-C953-4FAD-BDE8-64E7E7D26F44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5" authorId="0" shapeId="0" xr:uid="{8EA65F56-B212-43A5-9BDB-B0F7E5B3BEDC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6" authorId="0" shapeId="0" xr:uid="{A419D531-80F1-49C4-833A-6EB076EFE4C1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7" authorId="0" shapeId="0" xr:uid="{871CFA3A-3C21-4DCF-A35A-D220C599163C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8" authorId="0" shapeId="0" xr:uid="{549415EA-DA9E-4FDB-8783-873D576E84A7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9" authorId="0" shapeId="0" xr:uid="{9D83BE12-DE4A-49EE-A306-B39F379A9610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10" authorId="0" shapeId="0" xr:uid="{2909A1A9-CCAC-4641-B245-B047717A295C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11" authorId="0" shapeId="0" xr:uid="{847A0503-6C9A-4153-BA30-2A9CD20675D2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13" authorId="0" shapeId="0" xr:uid="{93B78600-22D6-4C26-8D3D-2EE7114049DC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14" authorId="0" shapeId="0" xr:uid="{E3DE60EF-FB6E-4085-8A72-D71828E89921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15" authorId="0" shapeId="0" xr:uid="{E5244274-C01F-4689-A09B-2B86A4A613CE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16" authorId="0" shapeId="0" xr:uid="{42DDDCD1-8D8A-4C26-BD77-1164B2BDF18B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17" authorId="0" shapeId="0" xr:uid="{0A365DE6-DD35-4002-A02B-5178C3EDB4CF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18" authorId="0" shapeId="0" xr:uid="{3363BEA0-3476-419B-8FB1-A4BE464E1389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19" authorId="0" shapeId="0" xr:uid="{128941B0-E05D-4D1A-A4D8-FF3A91D75263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20" authorId="0" shapeId="0" xr:uid="{EF6DBB10-0E01-425F-BCA9-2264A3031B63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22" authorId="0" shapeId="0" xr:uid="{929D8F95-CD00-451F-A41C-79121031F018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23" authorId="0" shapeId="0" xr:uid="{566C8518-0A4E-4F6B-BCED-5C6EA5BF9679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24" authorId="0" shapeId="0" xr:uid="{9B1D28CE-8262-44FD-8A22-66699E4C4F79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25" authorId="0" shapeId="0" xr:uid="{7AAE7DB8-CB19-4106-B23E-8BAB118CC6A5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26" authorId="0" shapeId="0" xr:uid="{524A8468-C0F1-4A03-8766-F7FDDADB70BD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27" authorId="0" shapeId="0" xr:uid="{458867C7-CB38-429D-912C-70CE35BADA54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28" authorId="0" shapeId="0" xr:uid="{2322500A-65CB-4BA5-82D6-9F909663D336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29" authorId="0" shapeId="0" xr:uid="{4519C4D2-B717-4E92-AAC4-B4992EA5D903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31" authorId="0" shapeId="0" xr:uid="{09CB1449-C772-428F-BB87-30F64AD4D592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32" authorId="0" shapeId="0" xr:uid="{711E233E-F448-4E9B-B820-228419E6BD40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33" authorId="0" shapeId="0" xr:uid="{4160F87C-6D78-48D9-9C47-CEB2AEAF22A0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34" authorId="0" shapeId="0" xr:uid="{F4C4B71F-5A4E-48DF-9188-96A5DD91C80C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35" authorId="0" shapeId="0" xr:uid="{D6808D73-F820-4358-B6D6-EB4F46DD5D8A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36" authorId="0" shapeId="0" xr:uid="{B4CB4D2E-30C9-41EE-AE58-ED15ACF858C2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37" authorId="0" shapeId="0" xr:uid="{03BDA3C4-FF9A-4624-89AE-BBA11ED903DF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38" authorId="0" shapeId="0" xr:uid="{ABF86FB2-C5D2-411F-85BE-61247C636D13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39" authorId="0" shapeId="0" xr:uid="{811712FE-7096-41BF-AC0C-F461A3067CCB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41" authorId="0" shapeId="0" xr:uid="{BB54B176-6F1D-462A-BAA5-C1BE616ED954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42" authorId="0" shapeId="0" xr:uid="{78563940-0196-44DD-9CDF-8DAE923C63B7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43" authorId="0" shapeId="0" xr:uid="{98DE5B30-16E9-4D47-84AD-2E2EFC09E7D3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44" authorId="0" shapeId="0" xr:uid="{3C898CBD-F285-4900-BA10-5A26AA6697BB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45" authorId="0" shapeId="0" xr:uid="{F4A6C001-5A55-44D7-8D73-37EE5791F494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46" authorId="0" shapeId="0" xr:uid="{25878EF6-CDEE-406F-ACEA-39BA26DD3A3B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47" authorId="0" shapeId="0" xr:uid="{A1F3239A-217C-440F-ABEF-B622F9023EEC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48" authorId="0" shapeId="0" xr:uid="{606D1976-EEC2-4F72-A482-213599EB0C48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50" authorId="0" shapeId="0" xr:uid="{A52F5245-EE2B-4686-A880-ED7DFE2C6EE8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51" authorId="0" shapeId="0" xr:uid="{E462F9BB-CDE9-4BAF-A6AC-44597BC88D0B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52" authorId="0" shapeId="0" xr:uid="{CC10FD00-ADF6-4177-B387-BED346B7F96C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53" authorId="0" shapeId="0" xr:uid="{9B691CA9-EBAF-45A8-9ADC-9E399940D91E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54" authorId="0" shapeId="0" xr:uid="{1BDD0717-6C1C-4C58-93E2-698DC7CA05D4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55" authorId="0" shapeId="0" xr:uid="{C4E48DDE-BECD-40E0-B64C-535E4E109CE1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56" authorId="0" shapeId="0" xr:uid="{93AAF72A-92A4-4CA7-A6C4-1FA224E1CB66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57" authorId="0" shapeId="0" xr:uid="{C29A2CFB-2C01-470B-A225-9567A7C085A1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59" authorId="0" shapeId="0" xr:uid="{618D5915-6237-4B56-A8E2-92637A9D89F7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60" authorId="0" shapeId="0" xr:uid="{AD1A370C-0281-4950-8AC6-2019B5FA1803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61" authorId="0" shapeId="0" xr:uid="{9AFC0BDB-51B6-4ADC-9988-7201F9CA2815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62" authorId="0" shapeId="0" xr:uid="{E9A1B364-CD7D-4D90-B33B-75B76254D852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63" authorId="0" shapeId="0" xr:uid="{064DB9FF-FE86-44B9-92E8-F2EEF8BFE424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64" authorId="0" shapeId="0" xr:uid="{B92163A4-B9E5-4A42-B8DC-2B7CC132C484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65" authorId="0" shapeId="0" xr:uid="{75C6BB1E-F229-4DCD-AC6C-3BDD2217E84C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66" authorId="0" shapeId="0" xr:uid="{81F738F4-FFFE-4948-AE8E-5EE2F85E4ED3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68" authorId="0" shapeId="0" xr:uid="{B3F52FC8-E413-4965-B464-CF5B3DBECF28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69" authorId="0" shapeId="0" xr:uid="{3E15F18D-5CFE-4278-9C5C-84E6CF847D53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70" authorId="0" shapeId="0" xr:uid="{D869F103-C4DE-47E7-A0FC-E6C6C1D2B11D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71" authorId="0" shapeId="0" xr:uid="{76E16AA0-63A8-4945-BD00-E6CA44249AD5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72" authorId="0" shapeId="0" xr:uid="{7ACEC514-DDD9-4D0B-ACB7-6507E0BC8F51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73" authorId="0" shapeId="0" xr:uid="{A6D8B473-F6F2-450D-A0E7-664ACD3CC75F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74" authorId="0" shapeId="0" xr:uid="{594BAE04-E457-4DE3-A075-09D2977CC0EC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75" authorId="0" shapeId="0" xr:uid="{2BE50088-4AD1-4443-BC0D-C6EFB0B8894A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77" authorId="0" shapeId="0" xr:uid="{13539413-7D6D-492D-80D1-C5DD08B38264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78" authorId="0" shapeId="0" xr:uid="{1F1BF627-310C-4972-A8EB-730354A03726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79" authorId="0" shapeId="0" xr:uid="{5B838762-A255-4FD2-8BA7-E13825708D07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80" authorId="0" shapeId="0" xr:uid="{8BB617E5-4A01-4A6E-BF23-FD4C2FA8D387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81" authorId="0" shapeId="0" xr:uid="{83A4191B-86A6-4890-91BD-EA6CABF5808E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82" authorId="0" shapeId="0" xr:uid="{A47FEA52-5649-47FC-99A7-BA2C84EEA1BA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83" authorId="0" shapeId="0" xr:uid="{D39845AC-1D22-4C58-BA8E-8215635F42C8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84" authorId="0" shapeId="0" xr:uid="{ACF0E18F-0300-464E-A90C-719A66CF9BF3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  <comment ref="P86" authorId="0" shapeId="0" xr:uid="{6C51BF81-AC8D-41C5-A122-E3393EEFD3FC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87" authorId="0" shapeId="0" xr:uid="{660428AC-F932-4585-A4A1-B163794E8A86}">
      <text>
        <r>
          <rPr>
            <sz val="9"/>
            <color indexed="81"/>
            <rFont val="Segoe UI"/>
            <family val="2"/>
          </rPr>
          <t>Comissões a prestadores de serviços.</t>
        </r>
      </text>
    </comment>
    <comment ref="P88" authorId="0" shapeId="0" xr:uid="{FCE870CC-CE62-4C26-8AFB-BAE9154C1411}">
      <text>
        <r>
          <rPr>
            <sz val="9"/>
            <color indexed="81"/>
            <rFont val="Segoe UI"/>
            <family val="2"/>
          </rPr>
          <t>Comissão fixa a prestadores de serviços.</t>
        </r>
      </text>
    </comment>
    <comment ref="P89" authorId="0" shapeId="0" xr:uid="{386D26FE-A8B0-4128-8CAD-2646AC507D2F}">
      <text>
        <r>
          <rPr>
            <sz val="9"/>
            <color indexed="81"/>
            <rFont val="Segoe UI"/>
            <family val="2"/>
          </rPr>
          <t>Bonificação variável a prestadores de serviços.</t>
        </r>
      </text>
    </comment>
    <comment ref="P90" authorId="0" shapeId="0" xr:uid="{A0B57F78-F69D-4229-9C77-275D235E2545}">
      <text>
        <r>
          <rPr>
            <sz val="9"/>
            <color indexed="81"/>
            <rFont val="Segoe UI"/>
            <family val="2"/>
          </rPr>
          <t xml:space="preserve">Assistência médica a prestadores de serviços.
</t>
        </r>
      </text>
    </comment>
    <comment ref="P91" authorId="0" shapeId="0" xr:uid="{570AD650-74D8-4A96-83CC-9F951C7240C6}">
      <text>
        <r>
          <rPr>
            <sz val="9"/>
            <color indexed="81"/>
            <rFont val="Segoe UI"/>
            <family val="2"/>
          </rPr>
          <t>Comissões sobre campanhas a prestadores de serviços.</t>
        </r>
      </text>
    </comment>
    <comment ref="P92" authorId="0" shapeId="0" xr:uid="{67A3ED55-277D-4512-A18B-20AE7CB4E6B1}">
      <text>
        <r>
          <rPr>
            <sz val="9"/>
            <color indexed="81"/>
            <rFont val="Segoe UI"/>
            <family val="2"/>
          </rPr>
          <t>Bonificação anual a prestadores de serviços</t>
        </r>
      </text>
    </comment>
    <comment ref="P93" authorId="0" shapeId="0" xr:uid="{6DB5612E-ECBB-4E2C-BD38-2E153BB6E0F3}">
      <text>
        <r>
          <rPr>
            <sz val="9"/>
            <color indexed="81"/>
            <rFont val="Segoe UI"/>
            <family val="2"/>
          </rPr>
          <t>Descontos obtidos sobre prestadores de serviços.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adm1</author>
  </authors>
  <commentList>
    <comment ref="P4" authorId="0" shapeId="0" xr:uid="{0D8D8BF6-9E57-4FBB-8F39-A50FE543FD22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6" authorId="0" shapeId="0" xr:uid="{EEC0B825-F4F8-473F-ADB5-BD66DDB88F03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8" authorId="0" shapeId="0" xr:uid="{5D9E1A95-D2F2-4FDA-823F-8CDF0F40D98B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10" authorId="0" shapeId="0" xr:uid="{F73D54E4-F4E6-4573-B563-E638C11B5B07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12" authorId="0" shapeId="0" xr:uid="{2ECC39FB-7D7E-45FA-A9D5-BC88561BEB46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14" authorId="0" shapeId="0" xr:uid="{EC995743-7A16-4D3A-A605-84476ADDF811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16" authorId="0" shapeId="0" xr:uid="{24E32BED-8934-4956-820D-FA281F6CFF5C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18" authorId="0" shapeId="0" xr:uid="{4776B881-5E04-48B4-8C38-1D6F501F5568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20" authorId="0" shapeId="0" xr:uid="{BB975CC3-3493-4AD7-894C-2BEF18060793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22" authorId="0" shapeId="0" xr:uid="{32F9C1D0-418E-4185-8C3D-E66862D08580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24" authorId="0" shapeId="0" xr:uid="{8619B3DE-9E06-47F9-99E2-900715F1F0AE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26" authorId="0" shapeId="0" xr:uid="{7D6DD5D6-7938-4603-A45C-500E2676D124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  <comment ref="P28" authorId="0" shapeId="0" xr:uid="{D723DFD5-25D4-4207-B404-5E285C155F3C}">
      <text>
        <r>
          <rPr>
            <sz val="9"/>
            <color indexed="81"/>
            <rFont val="Segoe UI"/>
            <family val="2"/>
          </rPr>
          <t>Serviços prestados por terceiros.</t>
        </r>
      </text>
    </comment>
  </commentList>
</comments>
</file>

<file path=xl/sharedStrings.xml><?xml version="1.0" encoding="utf-8"?>
<sst xmlns="http://schemas.openxmlformats.org/spreadsheetml/2006/main" count="458" uniqueCount="73">
  <si>
    <t>4.01.01.01.06</t>
  </si>
  <si>
    <t>Débito</t>
  </si>
  <si>
    <t>Crédito</t>
  </si>
  <si>
    <t>Observações</t>
  </si>
  <si>
    <t>Ref.1</t>
  </si>
  <si>
    <t>Ref.2</t>
  </si>
  <si>
    <t>Ref.3</t>
  </si>
  <si>
    <t>Data de vencimento</t>
  </si>
  <si>
    <t>Data de lançamento</t>
  </si>
  <si>
    <t>Data do documento</t>
  </si>
  <si>
    <t>F001723</t>
  </si>
  <si>
    <t>C.ANA CRISTINA WRUCH</t>
  </si>
  <si>
    <t>N</t>
  </si>
  <si>
    <t>4.01.01.01.05</t>
  </si>
  <si>
    <t>4.01.01.01.14</t>
  </si>
  <si>
    <t>Campo no objeto</t>
  </si>
  <si>
    <t>Tipo de registro ('H' para cabeçalho e 'L' para linha)</t>
  </si>
  <si>
    <t>Série</t>
  </si>
  <si>
    <t>Indicador</t>
  </si>
  <si>
    <t>Projeto</t>
  </si>
  <si>
    <t>Código de transação</t>
  </si>
  <si>
    <t>Tipo lançamento ECD</t>
  </si>
  <si>
    <t>Tipo de conta ('GL' ou 'BP')</t>
  </si>
  <si>
    <t>Código da conta/Código do PN</t>
  </si>
  <si>
    <t>Observações (nas linhas)</t>
  </si>
  <si>
    <t>H</t>
  </si>
  <si>
    <t>BP</t>
  </si>
  <si>
    <t>GL</t>
  </si>
  <si>
    <t>4.01.01.06.04</t>
  </si>
  <si>
    <t xml:space="preserve">4.01.01.01.17 </t>
  </si>
  <si>
    <t xml:space="preserve">3.01.02.01.12 </t>
  </si>
  <si>
    <t>F001924</t>
  </si>
  <si>
    <t>C.61.454.986 ELIZEU FERNANDES DE CARVALHO</t>
  </si>
  <si>
    <t>Nome do PN ou conta contábil</t>
  </si>
  <si>
    <t>Competência da folha de pagamento</t>
  </si>
  <si>
    <t>Nota fiscal de entrada</t>
  </si>
  <si>
    <t>F001603</t>
  </si>
  <si>
    <t>C.50.210.445 FLAVIO MACHADO DOS REIS</t>
  </si>
  <si>
    <t>F001820</t>
  </si>
  <si>
    <t>C.JOSE ANTONIO OLIVEIRA DA SILVA</t>
  </si>
  <si>
    <t>C.JOCIELE NAIARA VAZ PADILHA 06961856950</t>
  </si>
  <si>
    <t>F001997</t>
  </si>
  <si>
    <t>C.51.727.297 RAFAEL FERREIRA DA SILVA</t>
  </si>
  <si>
    <t>F002020</t>
  </si>
  <si>
    <t>C.60.969.956 VANESSA VIEGAS SCHLEMMER</t>
  </si>
  <si>
    <t>F001922</t>
  </si>
  <si>
    <t>C.54.862.939 WILLIAMS SANTOS DE ANDRADE</t>
  </si>
  <si>
    <t>F001923</t>
  </si>
  <si>
    <t>L</t>
  </si>
  <si>
    <t>4.01.01.01.18</t>
  </si>
  <si>
    <t>C.58.118.694 MATHEUS OLLE DE VARGAS</t>
  </si>
  <si>
    <t>F002131</t>
  </si>
  <si>
    <t>NFSE 26</t>
  </si>
  <si>
    <t>NFSE 12</t>
  </si>
  <si>
    <t>NFSE 4</t>
  </si>
  <si>
    <t>NFSE 38</t>
  </si>
  <si>
    <t>NFSE 2</t>
  </si>
  <si>
    <t>NFSE 45</t>
  </si>
  <si>
    <t>NFSE 31</t>
  </si>
  <si>
    <t>NFSE 36</t>
  </si>
  <si>
    <t>4.01.01.03.08</t>
  </si>
  <si>
    <t>4.01.01.01.08</t>
  </si>
  <si>
    <t>1.01.03.02.04</t>
  </si>
  <si>
    <t>F000746</t>
  </si>
  <si>
    <t>C.LINE UP COMERCIO DE PRODUTOS  ARTESANAIS  LTDA</t>
  </si>
  <si>
    <t>F002132</t>
  </si>
  <si>
    <t>C.65.244.280 RAFAEL ZEFERINO DE OLIVEIRA</t>
  </si>
  <si>
    <t>C.65.101.373 MATHEUS ALMEIDA DE OLIVEIRA</t>
  </si>
  <si>
    <t>F002133</t>
  </si>
  <si>
    <t>Adiantamento</t>
  </si>
  <si>
    <t>03.2026</t>
  </si>
  <si>
    <t>C.GISELE PRIEBE PINHEIRO LTDA</t>
  </si>
  <si>
    <t>F001876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</si>
</sst>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4" borderId="1" xfId="0" applyFill="1" applyBorder="1"/>
    <xf numFmtId="0" fontId="0" fillId="0" borderId="2" xfId="0" applyBorder="1"/>
    <xf numFmtId="0" fontId="0" fillId="4" borderId="2" xfId="0" applyFill="1" applyBorder="1"/>
    <xf numFmtId="0" fontId="0" fillId="4" borderId="3" xfId="0" applyFill="1" applyBorder="1"/>
    <xf numFmtId="0" fontId="3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164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4" xfId="0" applyFill="1" applyBorder="1"/>
    <xf numFmtId="43" fontId="0" fillId="3" borderId="4" xfId="1" applyFont="1" applyFill="1" applyBorder="1"/>
    <xf numFmtId="0" fontId="0" fillId="4" borderId="4" xfId="0" applyFill="1" applyBorder="1"/>
    <xf numFmtId="43" fontId="0" fillId="5" borderId="4" xfId="1" applyFont="1" applyFill="1" applyBorder="1"/>
    <xf numFmtId="43" fontId="0" fillId="4" borderId="4" xfId="1" applyFont="1" applyFill="1" applyBorder="1"/>
    <xf numFmtId="0" fontId="3" fillId="2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49" fontId="0" fillId="6" borderId="4" xfId="1" applyNumberFormat="1" applyFont="1" applyFill="1" applyBorder="1" applyAlignment="1">
      <alignment horizontal="center"/>
    </xf>
    <xf numFmtId="0" fontId="0" fillId="7" borderId="3" xfId="0" applyFill="1" applyBorder="1"/>
    <xf numFmtId="0" fontId="0" fillId="7" borderId="4" xfId="0" applyFill="1" applyBorder="1" applyAlignment="1">
      <alignment horizontal="left"/>
    </xf>
    <xf numFmtId="0" fontId="0" fillId="7" borderId="4" xfId="0" applyFill="1" applyBorder="1" applyAlignment="1">
      <alignment horizontal="center"/>
    </xf>
    <xf numFmtId="43" fontId="0" fillId="7" borderId="4" xfId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0BA2-DC9A-4717-BED0-830296FBB0E4}">
  <dimension ref="A1:V93"/>
  <sheetViews>
    <sheetView showGridLines="0" tabSelected="1" topLeftCell="B10" workbookViewId="0">
      <selection activeCell="U81" sqref="U81"/>
    </sheetView>
  </sheetViews>
  <sheetFormatPr defaultRowHeight="14.5" outlineLevelRow="1" x14ac:dyDescent="0.35"/>
  <cols>
    <col min="1" max="1" width="13.26953125" hidden="1" customWidth="1"/>
    <col min="2" max="2" width="13.26953125" customWidth="1"/>
    <col min="3" max="3" width="13.26953125" hidden="1" customWidth="1"/>
    <col min="4" max="6" width="13.26953125" customWidth="1"/>
    <col min="7" max="13" width="13.26953125" hidden="1" customWidth="1"/>
    <col min="14" max="16" width="13.26953125" customWidth="1"/>
    <col min="17" max="17" width="50.81640625" bestFit="1" customWidth="1"/>
    <col min="18" max="18" width="17.453125" customWidth="1"/>
    <col min="19" max="19" width="15.1796875" customWidth="1"/>
    <col min="20" max="21" width="13.26953125" customWidth="1"/>
    <col min="22" max="22" width="72" bestFit="1" customWidth="1"/>
  </cols>
  <sheetData>
    <row r="1" spans="1:22" ht="69.5" customHeight="1" x14ac:dyDescent="0.35">
      <c r="A1" s="14" t="s">
        <v>15</v>
      </c>
      <c r="B1" s="5" t="s">
        <v>16</v>
      </c>
      <c r="C1" s="5" t="s">
        <v>17</v>
      </c>
      <c r="D1" s="5" t="s">
        <v>8</v>
      </c>
      <c r="E1" s="5" t="s">
        <v>7</v>
      </c>
      <c r="F1" s="5" t="s">
        <v>9</v>
      </c>
      <c r="G1" s="5" t="s">
        <v>3</v>
      </c>
      <c r="H1" s="5" t="s">
        <v>18</v>
      </c>
      <c r="I1" s="5" t="s">
        <v>19</v>
      </c>
      <c r="J1" s="5" t="s">
        <v>20</v>
      </c>
      <c r="K1" s="5" t="s">
        <v>4</v>
      </c>
      <c r="L1" s="5" t="s">
        <v>5</v>
      </c>
      <c r="M1" s="5" t="s">
        <v>6</v>
      </c>
      <c r="N1" s="5" t="s">
        <v>21</v>
      </c>
      <c r="O1" s="5" t="s">
        <v>22</v>
      </c>
      <c r="P1" s="5" t="s">
        <v>23</v>
      </c>
      <c r="Q1" s="5" t="s">
        <v>33</v>
      </c>
      <c r="R1" s="5" t="s">
        <v>34</v>
      </c>
      <c r="S1" s="5" t="s">
        <v>35</v>
      </c>
      <c r="T1" s="5" t="s">
        <v>1</v>
      </c>
      <c r="U1" s="5" t="s">
        <v>2</v>
      </c>
      <c r="V1" s="5" t="s">
        <v>24</v>
      </c>
    </row>
    <row r="2" spans="1:22" x14ac:dyDescent="0.35">
      <c r="A2" s="2"/>
      <c r="B2" s="5" t="s">
        <v>25</v>
      </c>
      <c r="C2" s="6"/>
      <c r="D2" s="7">
        <v>46081</v>
      </c>
      <c r="E2" s="7">
        <v>46087</v>
      </c>
      <c r="F2" s="7">
        <v>46081</v>
      </c>
      <c r="G2" s="8"/>
      <c r="H2" s="8"/>
      <c r="I2" s="8"/>
      <c r="J2" s="8"/>
      <c r="K2" s="8"/>
      <c r="L2" s="8"/>
      <c r="M2" s="8"/>
      <c r="N2" s="8" t="s">
        <v>12</v>
      </c>
      <c r="O2" s="8"/>
      <c r="P2" s="8"/>
      <c r="Q2" s="8"/>
      <c r="R2" s="8"/>
      <c r="S2" s="8"/>
      <c r="T2" s="8"/>
      <c r="U2" s="8"/>
      <c r="V2" s="8"/>
    </row>
    <row r="3" spans="1:22" x14ac:dyDescent="0.35">
      <c r="A3" s="2"/>
      <c r="B3" s="9" t="s">
        <v>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26</v>
      </c>
      <c r="P3" s="9" t="s">
        <v>10</v>
      </c>
      <c r="Q3" s="9" t="s">
        <v>11</v>
      </c>
      <c r="R3" s="19"/>
      <c r="S3" s="19" t="s">
        <v>52</v>
      </c>
      <c r="T3" s="10"/>
      <c r="U3" s="10">
        <f>SUM(T4:T11)-SUM(U4:U11)</f>
        <v>0</v>
      </c>
      <c r="V3" s="9" t="str">
        <f>Q3&amp;" - "&amp;R3&amp;" - "&amp;S3</f>
        <v>C.ANA CRISTINA WRUCH -  - NFSE 26</v>
      </c>
    </row>
    <row r="4" spans="1:22" outlineLevel="1" x14ac:dyDescent="0.35">
      <c r="A4" s="3"/>
      <c r="B4" s="11" t="s">
        <v>48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4" t="s">
        <v>0</v>
      </c>
      <c r="Q4" s="18" t="str">
        <f t="shared" ref="Q4:Q10" si="0">Q3</f>
        <v>C.ANA CRISTINA WRUCH</v>
      </c>
      <c r="R4" s="15"/>
      <c r="S4" s="15" t="str">
        <f t="shared" ref="S4:S10" si="1">S3</f>
        <v>NFSE 26</v>
      </c>
      <c r="T4" s="12"/>
      <c r="U4" s="13"/>
      <c r="V4" s="11" t="str">
        <f t="shared" ref="V4:V66" si="2">Q4&amp;" - "&amp;R4&amp;" - "&amp;S4</f>
        <v>C.ANA CRISTINA WRUCH -  - NFSE 26</v>
      </c>
    </row>
    <row r="5" spans="1:22" outlineLevel="1" x14ac:dyDescent="0.35">
      <c r="A5" s="3"/>
      <c r="B5" s="11" t="s">
        <v>48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 t="s">
        <v>27</v>
      </c>
      <c r="P5" s="1" t="s">
        <v>28</v>
      </c>
      <c r="Q5" s="18" t="str">
        <f t="shared" si="0"/>
        <v>C.ANA CRISTINA WRUCH</v>
      </c>
      <c r="R5" s="15"/>
      <c r="S5" s="15" t="str">
        <f t="shared" si="1"/>
        <v>NFSE 26</v>
      </c>
      <c r="T5" s="12"/>
      <c r="U5" s="13"/>
      <c r="V5" s="11" t="str">
        <f t="shared" si="2"/>
        <v>C.ANA CRISTINA WRUCH -  - NFSE 26</v>
      </c>
    </row>
    <row r="6" spans="1:22" outlineLevel="1" x14ac:dyDescent="0.35">
      <c r="A6" s="3"/>
      <c r="B6" s="11" t="s">
        <v>48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 t="s">
        <v>27</v>
      </c>
      <c r="P6" s="1" t="s">
        <v>13</v>
      </c>
      <c r="Q6" s="18" t="str">
        <f t="shared" si="0"/>
        <v>C.ANA CRISTINA WRUCH</v>
      </c>
      <c r="R6" s="15"/>
      <c r="S6" s="15" t="str">
        <f t="shared" si="1"/>
        <v>NFSE 26</v>
      </c>
      <c r="T6" s="12"/>
      <c r="U6" s="13"/>
      <c r="V6" s="11" t="str">
        <f t="shared" si="2"/>
        <v>C.ANA CRISTINA WRUCH -  - NFSE 26</v>
      </c>
    </row>
    <row r="7" spans="1:22" outlineLevel="1" x14ac:dyDescent="0.35">
      <c r="A7" s="3"/>
      <c r="B7" s="11" t="s">
        <v>48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 t="s">
        <v>27</v>
      </c>
      <c r="P7" s="1" t="s">
        <v>14</v>
      </c>
      <c r="Q7" s="18" t="str">
        <f t="shared" si="0"/>
        <v>C.ANA CRISTINA WRUCH</v>
      </c>
      <c r="R7" s="15"/>
      <c r="S7" s="15" t="str">
        <f t="shared" si="1"/>
        <v>NFSE 26</v>
      </c>
      <c r="T7" s="12"/>
      <c r="U7" s="13"/>
      <c r="V7" s="11" t="str">
        <f t="shared" si="2"/>
        <v>C.ANA CRISTINA WRUCH -  - NFSE 26</v>
      </c>
    </row>
    <row r="8" spans="1:22" outlineLevel="1" x14ac:dyDescent="0.35">
      <c r="A8" s="3"/>
      <c r="B8" s="11" t="s">
        <v>48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 t="s">
        <v>27</v>
      </c>
      <c r="P8" s="1" t="s">
        <v>29</v>
      </c>
      <c r="Q8" s="18" t="str">
        <f t="shared" si="0"/>
        <v>C.ANA CRISTINA WRUCH</v>
      </c>
      <c r="R8" s="15"/>
      <c r="S8" s="15" t="str">
        <f t="shared" si="1"/>
        <v>NFSE 26</v>
      </c>
      <c r="T8" s="12"/>
      <c r="U8" s="13"/>
      <c r="V8" s="11" t="str">
        <f t="shared" si="2"/>
        <v>C.ANA CRISTINA WRUCH -  - NFSE 26</v>
      </c>
    </row>
    <row r="9" spans="1:22" outlineLevel="1" x14ac:dyDescent="0.35">
      <c r="A9" s="3"/>
      <c r="B9" s="11" t="s">
        <v>48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 t="s">
        <v>27</v>
      </c>
      <c r="P9" s="1" t="s">
        <v>49</v>
      </c>
      <c r="Q9" s="18" t="str">
        <f t="shared" si="0"/>
        <v>C.ANA CRISTINA WRUCH</v>
      </c>
      <c r="R9" s="15"/>
      <c r="S9" s="15" t="str">
        <f t="shared" si="1"/>
        <v>NFSE 26</v>
      </c>
      <c r="T9" s="12"/>
      <c r="U9" s="13"/>
      <c r="V9" s="11" t="str">
        <f t="shared" si="2"/>
        <v>C.ANA CRISTINA WRUCH -  - NFSE 26</v>
      </c>
    </row>
    <row r="10" spans="1:22" outlineLevel="1" x14ac:dyDescent="0.35">
      <c r="A10" s="3"/>
      <c r="B10" s="11" t="s">
        <v>48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 t="s">
        <v>27</v>
      </c>
      <c r="P10" s="1" t="s">
        <v>61</v>
      </c>
      <c r="Q10" s="18" t="str">
        <f t="shared" si="0"/>
        <v>C.ANA CRISTINA WRUCH</v>
      </c>
      <c r="R10" s="15"/>
      <c r="S10" s="15" t="str">
        <f t="shared" si="1"/>
        <v>NFSE 26</v>
      </c>
      <c r="T10" s="12"/>
      <c r="U10" s="13"/>
      <c r="V10" s="11" t="str">
        <f t="shared" si="2"/>
        <v>C.ANA CRISTINA WRUCH -  - NFSE 26</v>
      </c>
    </row>
    <row r="11" spans="1:22" outlineLevel="1" x14ac:dyDescent="0.35">
      <c r="A11" s="3"/>
      <c r="B11" s="11" t="s">
        <v>48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 t="s">
        <v>27</v>
      </c>
      <c r="P11" s="1" t="s">
        <v>30</v>
      </c>
      <c r="Q11" s="18" t="str">
        <f>Q9</f>
        <v>C.ANA CRISTINA WRUCH</v>
      </c>
      <c r="R11" s="15"/>
      <c r="S11" s="15" t="str">
        <f>S9</f>
        <v>NFSE 26</v>
      </c>
      <c r="T11" s="13"/>
      <c r="U11" s="12"/>
      <c r="V11" s="11" t="str">
        <f t="shared" si="2"/>
        <v>C.ANA CRISTINA WRUCH -  - NFSE 26</v>
      </c>
    </row>
    <row r="12" spans="1:22" x14ac:dyDescent="0.35">
      <c r="A12" s="2"/>
      <c r="B12" s="9" t="s">
        <v>48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 t="s">
        <v>26</v>
      </c>
      <c r="P12" s="9" t="s">
        <v>36</v>
      </c>
      <c r="Q12" s="9" t="s">
        <v>37</v>
      </c>
      <c r="R12" s="19"/>
      <c r="S12" s="19" t="s">
        <v>54</v>
      </c>
      <c r="T12" s="10"/>
      <c r="U12" s="10">
        <f>SUM(T13:T20)-SUM(U13:U20)</f>
        <v>0</v>
      </c>
      <c r="V12" s="9" t="str">
        <f t="shared" si="2"/>
        <v>C.50.210.445 FLAVIO MACHADO DOS REIS -  - NFSE 4</v>
      </c>
    </row>
    <row r="13" spans="1:22" outlineLevel="1" x14ac:dyDescent="0.35">
      <c r="A13" s="3"/>
      <c r="B13" s="11" t="s">
        <v>48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 t="s">
        <v>27</v>
      </c>
      <c r="P13" s="20" t="s">
        <v>0</v>
      </c>
      <c r="Q13" s="21" t="str">
        <f t="shared" ref="Q13:Q19" si="3">Q12</f>
        <v>C.50.210.445 FLAVIO MACHADO DOS REIS</v>
      </c>
      <c r="R13" s="22"/>
      <c r="S13" s="22" t="str">
        <f t="shared" ref="S13:S19" si="4">S12</f>
        <v>NFSE 4</v>
      </c>
      <c r="T13" s="23"/>
      <c r="U13" s="13"/>
      <c r="V13" s="11" t="str">
        <f t="shared" si="2"/>
        <v>C.50.210.445 FLAVIO MACHADO DOS REIS -  - NFSE 4</v>
      </c>
    </row>
    <row r="14" spans="1:22" outlineLevel="1" x14ac:dyDescent="0.35">
      <c r="A14" s="3"/>
      <c r="B14" s="11" t="s">
        <v>48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27</v>
      </c>
      <c r="P14" s="1" t="s">
        <v>28</v>
      </c>
      <c r="Q14" s="18" t="str">
        <f t="shared" si="3"/>
        <v>C.50.210.445 FLAVIO MACHADO DOS REIS</v>
      </c>
      <c r="R14" s="15"/>
      <c r="S14" s="15" t="str">
        <f t="shared" si="4"/>
        <v>NFSE 4</v>
      </c>
      <c r="T14" s="12"/>
      <c r="U14" s="13"/>
      <c r="V14" s="11" t="str">
        <f t="shared" si="2"/>
        <v>C.50.210.445 FLAVIO MACHADO DOS REIS -  - NFSE 4</v>
      </c>
    </row>
    <row r="15" spans="1:22" outlineLevel="1" x14ac:dyDescent="0.35">
      <c r="A15" s="3"/>
      <c r="B15" s="11" t="s">
        <v>48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 t="s">
        <v>27</v>
      </c>
      <c r="P15" s="1" t="s">
        <v>13</v>
      </c>
      <c r="Q15" s="18" t="str">
        <f t="shared" si="3"/>
        <v>C.50.210.445 FLAVIO MACHADO DOS REIS</v>
      </c>
      <c r="R15" s="15"/>
      <c r="S15" s="15" t="str">
        <f t="shared" si="4"/>
        <v>NFSE 4</v>
      </c>
      <c r="T15" s="12"/>
      <c r="U15" s="13"/>
      <c r="V15" s="11" t="str">
        <f t="shared" si="2"/>
        <v>C.50.210.445 FLAVIO MACHADO DOS REIS -  - NFSE 4</v>
      </c>
    </row>
    <row r="16" spans="1:22" outlineLevel="1" x14ac:dyDescent="0.35">
      <c r="A16" s="3"/>
      <c r="B16" s="11" t="s">
        <v>48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 t="s">
        <v>27</v>
      </c>
      <c r="P16" s="1" t="s">
        <v>14</v>
      </c>
      <c r="Q16" s="18" t="str">
        <f t="shared" si="3"/>
        <v>C.50.210.445 FLAVIO MACHADO DOS REIS</v>
      </c>
      <c r="R16" s="15"/>
      <c r="S16" s="15" t="str">
        <f t="shared" si="4"/>
        <v>NFSE 4</v>
      </c>
      <c r="T16" s="12"/>
      <c r="U16" s="13"/>
      <c r="V16" s="11" t="str">
        <f t="shared" si="2"/>
        <v>C.50.210.445 FLAVIO MACHADO DOS REIS -  - NFSE 4</v>
      </c>
    </row>
    <row r="17" spans="1:22" outlineLevel="1" x14ac:dyDescent="0.35">
      <c r="A17" s="3"/>
      <c r="B17" s="11" t="s">
        <v>48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 t="s">
        <v>27</v>
      </c>
      <c r="P17" s="1" t="s">
        <v>29</v>
      </c>
      <c r="Q17" s="18" t="str">
        <f t="shared" si="3"/>
        <v>C.50.210.445 FLAVIO MACHADO DOS REIS</v>
      </c>
      <c r="R17" s="15"/>
      <c r="S17" s="15" t="str">
        <f t="shared" si="4"/>
        <v>NFSE 4</v>
      </c>
      <c r="T17" s="12"/>
      <c r="U17" s="13"/>
      <c r="V17" s="11" t="str">
        <f t="shared" si="2"/>
        <v>C.50.210.445 FLAVIO MACHADO DOS REIS -  - NFSE 4</v>
      </c>
    </row>
    <row r="18" spans="1:22" outlineLevel="1" x14ac:dyDescent="0.35">
      <c r="A18" s="3"/>
      <c r="B18" s="11" t="s">
        <v>48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27</v>
      </c>
      <c r="P18" s="1" t="s">
        <v>49</v>
      </c>
      <c r="Q18" s="18" t="str">
        <f t="shared" si="3"/>
        <v>C.50.210.445 FLAVIO MACHADO DOS REIS</v>
      </c>
      <c r="R18" s="15"/>
      <c r="S18" s="15" t="str">
        <f t="shared" si="4"/>
        <v>NFSE 4</v>
      </c>
      <c r="T18" s="12"/>
      <c r="U18" s="13"/>
      <c r="V18" s="11" t="str">
        <f t="shared" si="2"/>
        <v>C.50.210.445 FLAVIO MACHADO DOS REIS -  - NFSE 4</v>
      </c>
    </row>
    <row r="19" spans="1:22" outlineLevel="1" x14ac:dyDescent="0.35">
      <c r="A19" s="3"/>
      <c r="B19" s="11" t="s">
        <v>48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 t="s">
        <v>27</v>
      </c>
      <c r="P19" s="1" t="s">
        <v>61</v>
      </c>
      <c r="Q19" s="18" t="str">
        <f t="shared" si="3"/>
        <v>C.50.210.445 FLAVIO MACHADO DOS REIS</v>
      </c>
      <c r="R19" s="15"/>
      <c r="S19" s="15" t="str">
        <f t="shared" si="4"/>
        <v>NFSE 4</v>
      </c>
      <c r="T19" s="12"/>
      <c r="U19" s="13"/>
      <c r="V19" s="11" t="str">
        <f t="shared" si="2"/>
        <v>C.50.210.445 FLAVIO MACHADO DOS REIS -  - NFSE 4</v>
      </c>
    </row>
    <row r="20" spans="1:22" outlineLevel="1" x14ac:dyDescent="0.35">
      <c r="A20" s="3"/>
      <c r="B20" s="11" t="s">
        <v>48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 t="s">
        <v>27</v>
      </c>
      <c r="P20" s="1" t="s">
        <v>30</v>
      </c>
      <c r="Q20" s="18" t="str">
        <f>Q17</f>
        <v>C.50.210.445 FLAVIO MACHADO DOS REIS</v>
      </c>
      <c r="R20" s="15"/>
      <c r="S20" s="15" t="str">
        <f>S17</f>
        <v>NFSE 4</v>
      </c>
      <c r="T20" s="13"/>
      <c r="U20" s="12"/>
      <c r="V20" s="11" t="str">
        <f t="shared" si="2"/>
        <v>C.50.210.445 FLAVIO MACHADO DOS REIS -  - NFSE 4</v>
      </c>
    </row>
    <row r="21" spans="1:22" x14ac:dyDescent="0.35">
      <c r="A21" s="2"/>
      <c r="B21" s="9" t="s">
        <v>48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 t="s">
        <v>26</v>
      </c>
      <c r="P21" s="9" t="s">
        <v>38</v>
      </c>
      <c r="Q21" s="9" t="s">
        <v>39</v>
      </c>
      <c r="R21" s="19"/>
      <c r="S21" s="19" t="s">
        <v>55</v>
      </c>
      <c r="T21" s="10"/>
      <c r="U21" s="10">
        <f>SUM(T22:T29)-SUM(U22:U29)</f>
        <v>0</v>
      </c>
      <c r="V21" s="9" t="str">
        <f t="shared" si="2"/>
        <v>C.JOSE ANTONIO OLIVEIRA DA SILVA -  - NFSE 38</v>
      </c>
    </row>
    <row r="22" spans="1:22" outlineLevel="1" x14ac:dyDescent="0.35">
      <c r="A22" s="3"/>
      <c r="B22" s="11" t="s">
        <v>48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 t="s">
        <v>27</v>
      </c>
      <c r="P22" s="4" t="s">
        <v>0</v>
      </c>
      <c r="Q22" s="18" t="str">
        <f t="shared" ref="Q22:Q28" si="5">Q21</f>
        <v>C.JOSE ANTONIO OLIVEIRA DA SILVA</v>
      </c>
      <c r="R22" s="15"/>
      <c r="S22" s="15" t="str">
        <f t="shared" ref="S22:S28" si="6">S21</f>
        <v>NFSE 38</v>
      </c>
      <c r="T22" s="12"/>
      <c r="U22" s="13"/>
      <c r="V22" s="11" t="str">
        <f t="shared" si="2"/>
        <v>C.JOSE ANTONIO OLIVEIRA DA SILVA -  - NFSE 38</v>
      </c>
    </row>
    <row r="23" spans="1:22" outlineLevel="1" x14ac:dyDescent="0.35">
      <c r="A23" s="3"/>
      <c r="B23" s="11" t="s">
        <v>48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 t="s">
        <v>27</v>
      </c>
      <c r="P23" s="1" t="s">
        <v>28</v>
      </c>
      <c r="Q23" s="18" t="str">
        <f t="shared" si="5"/>
        <v>C.JOSE ANTONIO OLIVEIRA DA SILVA</v>
      </c>
      <c r="R23" s="15"/>
      <c r="S23" s="15" t="str">
        <f t="shared" si="6"/>
        <v>NFSE 38</v>
      </c>
      <c r="T23" s="12"/>
      <c r="U23" s="13"/>
      <c r="V23" s="11" t="str">
        <f t="shared" si="2"/>
        <v>C.JOSE ANTONIO OLIVEIRA DA SILVA -  - NFSE 38</v>
      </c>
    </row>
    <row r="24" spans="1:22" outlineLevel="1" x14ac:dyDescent="0.35">
      <c r="A24" s="3"/>
      <c r="B24" s="11" t="s">
        <v>48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 t="s">
        <v>27</v>
      </c>
      <c r="P24" s="1" t="s">
        <v>13</v>
      </c>
      <c r="Q24" s="18" t="str">
        <f t="shared" si="5"/>
        <v>C.JOSE ANTONIO OLIVEIRA DA SILVA</v>
      </c>
      <c r="R24" s="15"/>
      <c r="S24" s="15" t="str">
        <f t="shared" si="6"/>
        <v>NFSE 38</v>
      </c>
      <c r="T24" s="12"/>
      <c r="U24" s="13"/>
      <c r="V24" s="11" t="str">
        <f t="shared" si="2"/>
        <v>C.JOSE ANTONIO OLIVEIRA DA SILVA -  - NFSE 38</v>
      </c>
    </row>
    <row r="25" spans="1:22" outlineLevel="1" x14ac:dyDescent="0.35">
      <c r="A25" s="3"/>
      <c r="B25" s="11" t="s">
        <v>48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 t="s">
        <v>27</v>
      </c>
      <c r="P25" s="1" t="s">
        <v>14</v>
      </c>
      <c r="Q25" s="18" t="str">
        <f t="shared" si="5"/>
        <v>C.JOSE ANTONIO OLIVEIRA DA SILVA</v>
      </c>
      <c r="R25" s="15"/>
      <c r="S25" s="15" t="str">
        <f t="shared" si="6"/>
        <v>NFSE 38</v>
      </c>
      <c r="T25" s="12"/>
      <c r="U25" s="13"/>
      <c r="V25" s="11" t="str">
        <f t="shared" si="2"/>
        <v>C.JOSE ANTONIO OLIVEIRA DA SILVA -  - NFSE 38</v>
      </c>
    </row>
    <row r="26" spans="1:22" outlineLevel="1" x14ac:dyDescent="0.35">
      <c r="A26" s="3"/>
      <c r="B26" s="11" t="s">
        <v>48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 t="s">
        <v>27</v>
      </c>
      <c r="P26" s="1" t="s">
        <v>29</v>
      </c>
      <c r="Q26" s="18" t="str">
        <f t="shared" si="5"/>
        <v>C.JOSE ANTONIO OLIVEIRA DA SILVA</v>
      </c>
      <c r="R26" s="15"/>
      <c r="S26" s="15" t="str">
        <f t="shared" si="6"/>
        <v>NFSE 38</v>
      </c>
      <c r="T26" s="12"/>
      <c r="U26" s="13"/>
      <c r="V26" s="11" t="str">
        <f t="shared" si="2"/>
        <v>C.JOSE ANTONIO OLIVEIRA DA SILVA -  - NFSE 38</v>
      </c>
    </row>
    <row r="27" spans="1:22" outlineLevel="1" x14ac:dyDescent="0.35">
      <c r="A27" s="3"/>
      <c r="B27" s="11" t="s">
        <v>48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 t="s">
        <v>27</v>
      </c>
      <c r="P27" s="1" t="s">
        <v>49</v>
      </c>
      <c r="Q27" s="18" t="str">
        <f t="shared" si="5"/>
        <v>C.JOSE ANTONIO OLIVEIRA DA SILVA</v>
      </c>
      <c r="R27" s="15"/>
      <c r="S27" s="15" t="str">
        <f t="shared" si="6"/>
        <v>NFSE 38</v>
      </c>
      <c r="T27" s="12"/>
      <c r="U27" s="13"/>
      <c r="V27" s="11" t="str">
        <f t="shared" si="2"/>
        <v>C.JOSE ANTONIO OLIVEIRA DA SILVA -  - NFSE 38</v>
      </c>
    </row>
    <row r="28" spans="1:22" outlineLevel="1" x14ac:dyDescent="0.35">
      <c r="A28" s="3"/>
      <c r="B28" s="11" t="s">
        <v>48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 t="s">
        <v>27</v>
      </c>
      <c r="P28" s="1" t="s">
        <v>61</v>
      </c>
      <c r="Q28" s="18" t="str">
        <f t="shared" si="5"/>
        <v>C.JOSE ANTONIO OLIVEIRA DA SILVA</v>
      </c>
      <c r="R28" s="15"/>
      <c r="S28" s="15" t="str">
        <f t="shared" si="6"/>
        <v>NFSE 38</v>
      </c>
      <c r="T28" s="12"/>
      <c r="U28" s="13"/>
      <c r="V28" s="11" t="str">
        <f t="shared" ref="V28" si="7">Q28&amp;" - "&amp;R28&amp;" - "&amp;S28</f>
        <v>C.JOSE ANTONIO OLIVEIRA DA SILVA -  - NFSE 38</v>
      </c>
    </row>
    <row r="29" spans="1:22" outlineLevel="1" x14ac:dyDescent="0.35">
      <c r="A29" s="3"/>
      <c r="B29" s="11" t="s">
        <v>48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 t="s">
        <v>27</v>
      </c>
      <c r="P29" s="1" t="s">
        <v>30</v>
      </c>
      <c r="Q29" s="18" t="str">
        <f>Q26</f>
        <v>C.JOSE ANTONIO OLIVEIRA DA SILVA</v>
      </c>
      <c r="R29" s="15"/>
      <c r="S29" s="15" t="str">
        <f>S26</f>
        <v>NFSE 38</v>
      </c>
      <c r="T29" s="13"/>
      <c r="U29" s="12"/>
      <c r="V29" s="11" t="str">
        <f t="shared" si="2"/>
        <v>C.JOSE ANTONIO OLIVEIRA DA SILVA -  - NFSE 38</v>
      </c>
    </row>
    <row r="30" spans="1:22" x14ac:dyDescent="0.35">
      <c r="A30" s="2"/>
      <c r="B30" s="9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 t="s">
        <v>26</v>
      </c>
      <c r="P30" s="9" t="s">
        <v>51</v>
      </c>
      <c r="Q30" s="9" t="s">
        <v>50</v>
      </c>
      <c r="R30" s="19"/>
      <c r="S30" s="19" t="s">
        <v>56</v>
      </c>
      <c r="T30" s="10"/>
      <c r="U30" s="10">
        <f>SUM(T31:T39)-SUM(U31:U39)</f>
        <v>0</v>
      </c>
      <c r="V30" s="9" t="str">
        <f t="shared" ref="V30:V39" si="8">Q30&amp;" - "&amp;R30&amp;" - "&amp;S30</f>
        <v>C.58.118.694 MATHEUS OLLE DE VARGAS -  - NFSE 2</v>
      </c>
    </row>
    <row r="31" spans="1:22" outlineLevel="1" x14ac:dyDescent="0.35">
      <c r="A31" s="3"/>
      <c r="B31" s="11" t="s">
        <v>48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 t="s">
        <v>27</v>
      </c>
      <c r="P31" s="4" t="s">
        <v>0</v>
      </c>
      <c r="Q31" s="18" t="str">
        <f t="shared" ref="Q31:Q36" si="9">Q30</f>
        <v>C.58.118.694 MATHEUS OLLE DE VARGAS</v>
      </c>
      <c r="R31" s="15"/>
      <c r="S31" s="15" t="str">
        <f t="shared" ref="S31:S36" si="10">S30</f>
        <v>NFSE 2</v>
      </c>
      <c r="T31" s="12"/>
      <c r="U31" s="13"/>
      <c r="V31" s="11" t="str">
        <f t="shared" si="8"/>
        <v>C.58.118.694 MATHEUS OLLE DE VARGAS -  - NFSE 2</v>
      </c>
    </row>
    <row r="32" spans="1:22" outlineLevel="1" x14ac:dyDescent="0.35">
      <c r="A32" s="3"/>
      <c r="B32" s="11" t="s">
        <v>48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 t="s">
        <v>27</v>
      </c>
      <c r="P32" s="1" t="s">
        <v>28</v>
      </c>
      <c r="Q32" s="18" t="str">
        <f t="shared" si="9"/>
        <v>C.58.118.694 MATHEUS OLLE DE VARGAS</v>
      </c>
      <c r="R32" s="15"/>
      <c r="S32" s="15" t="str">
        <f t="shared" si="10"/>
        <v>NFSE 2</v>
      </c>
      <c r="T32" s="12"/>
      <c r="U32" s="13"/>
      <c r="V32" s="11" t="str">
        <f t="shared" si="8"/>
        <v>C.58.118.694 MATHEUS OLLE DE VARGAS -  - NFSE 2</v>
      </c>
    </row>
    <row r="33" spans="1:22" outlineLevel="1" x14ac:dyDescent="0.35">
      <c r="A33" s="3"/>
      <c r="B33" s="11" t="s">
        <v>48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 t="s">
        <v>27</v>
      </c>
      <c r="P33" s="1" t="s">
        <v>13</v>
      </c>
      <c r="Q33" s="18" t="str">
        <f t="shared" si="9"/>
        <v>C.58.118.694 MATHEUS OLLE DE VARGAS</v>
      </c>
      <c r="R33" s="15"/>
      <c r="S33" s="15" t="str">
        <f t="shared" si="10"/>
        <v>NFSE 2</v>
      </c>
      <c r="T33" s="12"/>
      <c r="U33" s="13"/>
      <c r="V33" s="11" t="str">
        <f t="shared" si="8"/>
        <v>C.58.118.694 MATHEUS OLLE DE VARGAS -  - NFSE 2</v>
      </c>
    </row>
    <row r="34" spans="1:22" outlineLevel="1" x14ac:dyDescent="0.35">
      <c r="A34" s="3"/>
      <c r="B34" s="11" t="s">
        <v>48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 t="s">
        <v>27</v>
      </c>
      <c r="P34" s="1" t="s">
        <v>14</v>
      </c>
      <c r="Q34" s="18" t="str">
        <f t="shared" si="9"/>
        <v>C.58.118.694 MATHEUS OLLE DE VARGAS</v>
      </c>
      <c r="R34" s="15"/>
      <c r="S34" s="15" t="str">
        <f t="shared" si="10"/>
        <v>NFSE 2</v>
      </c>
      <c r="T34" s="12"/>
      <c r="U34" s="13"/>
      <c r="V34" s="11" t="str">
        <f t="shared" si="8"/>
        <v>C.58.118.694 MATHEUS OLLE DE VARGAS -  - NFSE 2</v>
      </c>
    </row>
    <row r="35" spans="1:22" outlineLevel="1" x14ac:dyDescent="0.35">
      <c r="A35" s="3"/>
      <c r="B35" s="11" t="s">
        <v>48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 t="s">
        <v>27</v>
      </c>
      <c r="P35" s="1" t="s">
        <v>29</v>
      </c>
      <c r="Q35" s="18" t="str">
        <f t="shared" si="9"/>
        <v>C.58.118.694 MATHEUS OLLE DE VARGAS</v>
      </c>
      <c r="R35" s="15"/>
      <c r="S35" s="15" t="str">
        <f t="shared" si="10"/>
        <v>NFSE 2</v>
      </c>
      <c r="T35" s="12"/>
      <c r="U35" s="13"/>
      <c r="V35" s="11" t="str">
        <f t="shared" si="8"/>
        <v>C.58.118.694 MATHEUS OLLE DE VARGAS -  - NFSE 2</v>
      </c>
    </row>
    <row r="36" spans="1:22" outlineLevel="1" x14ac:dyDescent="0.35">
      <c r="A36" s="3"/>
      <c r="B36" s="11" t="s">
        <v>48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 t="s">
        <v>27</v>
      </c>
      <c r="P36" s="1" t="s">
        <v>60</v>
      </c>
      <c r="Q36" s="18" t="str">
        <f t="shared" si="9"/>
        <v>C.58.118.694 MATHEUS OLLE DE VARGAS</v>
      </c>
      <c r="R36" s="15"/>
      <c r="S36" s="15" t="str">
        <f t="shared" si="10"/>
        <v>NFSE 2</v>
      </c>
      <c r="T36" s="12"/>
      <c r="U36" s="13"/>
      <c r="V36" s="11" t="str">
        <f t="shared" ref="V36" si="11">Q36&amp;" - "&amp;R36&amp;" - "&amp;S36</f>
        <v>C.58.118.694 MATHEUS OLLE DE VARGAS -  - NFSE 2</v>
      </c>
    </row>
    <row r="37" spans="1:22" outlineLevel="1" x14ac:dyDescent="0.35">
      <c r="A37" s="3"/>
      <c r="B37" s="11" t="s">
        <v>48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 t="s">
        <v>27</v>
      </c>
      <c r="P37" s="1" t="s">
        <v>49</v>
      </c>
      <c r="Q37" s="18" t="str">
        <f>Q35</f>
        <v>C.58.118.694 MATHEUS OLLE DE VARGAS</v>
      </c>
      <c r="R37" s="15"/>
      <c r="S37" s="15" t="str">
        <f>S35</f>
        <v>NFSE 2</v>
      </c>
      <c r="T37" s="12"/>
      <c r="U37" s="13"/>
      <c r="V37" s="11" t="str">
        <f t="shared" si="8"/>
        <v>C.58.118.694 MATHEUS OLLE DE VARGAS -  - NFSE 2</v>
      </c>
    </row>
    <row r="38" spans="1:22" outlineLevel="1" x14ac:dyDescent="0.35">
      <c r="A38" s="3"/>
      <c r="B38" s="11" t="s">
        <v>48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 t="s">
        <v>27</v>
      </c>
      <c r="P38" s="1" t="s">
        <v>61</v>
      </c>
      <c r="Q38" s="18" t="str">
        <f t="shared" ref="Q38:S38" si="12">Q37</f>
        <v>C.58.118.694 MATHEUS OLLE DE VARGAS</v>
      </c>
      <c r="R38" s="15"/>
      <c r="S38" s="15" t="str">
        <f t="shared" si="12"/>
        <v>NFSE 2</v>
      </c>
      <c r="T38" s="12"/>
      <c r="U38" s="13"/>
      <c r="V38" s="11" t="str">
        <f t="shared" si="8"/>
        <v>C.58.118.694 MATHEUS OLLE DE VARGAS -  - NFSE 2</v>
      </c>
    </row>
    <row r="39" spans="1:22" outlineLevel="1" x14ac:dyDescent="0.35">
      <c r="A39" s="3"/>
      <c r="B39" s="11" t="s">
        <v>48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 t="s">
        <v>27</v>
      </c>
      <c r="P39" s="1" t="s">
        <v>30</v>
      </c>
      <c r="Q39" s="18" t="str">
        <f>Q35</f>
        <v>C.58.118.694 MATHEUS OLLE DE VARGAS</v>
      </c>
      <c r="R39" s="15"/>
      <c r="S39" s="15" t="str">
        <f>S35</f>
        <v>NFSE 2</v>
      </c>
      <c r="T39" s="13"/>
      <c r="U39" s="12"/>
      <c r="V39" s="11" t="str">
        <f t="shared" si="8"/>
        <v>C.58.118.694 MATHEUS OLLE DE VARGAS -  - NFSE 2</v>
      </c>
    </row>
    <row r="40" spans="1:22" x14ac:dyDescent="0.35">
      <c r="A40" s="2"/>
      <c r="B40" s="9" t="s">
        <v>48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 t="s">
        <v>26</v>
      </c>
      <c r="P40" s="9" t="s">
        <v>41</v>
      </c>
      <c r="Q40" s="9" t="s">
        <v>40</v>
      </c>
      <c r="R40" s="19"/>
      <c r="S40" s="19" t="s">
        <v>57</v>
      </c>
      <c r="T40" s="10"/>
      <c r="U40" s="10">
        <f>SUM(T41:T48)-SUM(U41:U48)</f>
        <v>0</v>
      </c>
      <c r="V40" s="9" t="str">
        <f t="shared" si="2"/>
        <v>C.JOCIELE NAIARA VAZ PADILHA 06961856950 -  - NFSE 45</v>
      </c>
    </row>
    <row r="41" spans="1:22" outlineLevel="1" x14ac:dyDescent="0.35">
      <c r="A41" s="3"/>
      <c r="B41" s="11" t="s">
        <v>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 t="s">
        <v>27</v>
      </c>
      <c r="P41" s="4" t="s">
        <v>0</v>
      </c>
      <c r="Q41" s="18" t="str">
        <f t="shared" ref="Q41:S47" si="13">Q40</f>
        <v>C.JOCIELE NAIARA VAZ PADILHA 06961856950</v>
      </c>
      <c r="R41" s="15"/>
      <c r="S41" s="15" t="str">
        <f t="shared" ref="S41:S46" si="14">S40</f>
        <v>NFSE 45</v>
      </c>
      <c r="T41" s="12"/>
      <c r="U41" s="13"/>
      <c r="V41" s="11" t="str">
        <f t="shared" si="2"/>
        <v>C.JOCIELE NAIARA VAZ PADILHA 06961856950 -  - NFSE 45</v>
      </c>
    </row>
    <row r="42" spans="1:22" outlineLevel="1" x14ac:dyDescent="0.35">
      <c r="A42" s="3"/>
      <c r="B42" s="11" t="s">
        <v>48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 t="s">
        <v>27</v>
      </c>
      <c r="P42" s="1" t="s">
        <v>28</v>
      </c>
      <c r="Q42" s="18" t="str">
        <f t="shared" si="13"/>
        <v>C.JOCIELE NAIARA VAZ PADILHA 06961856950</v>
      </c>
      <c r="R42" s="15"/>
      <c r="S42" s="15" t="str">
        <f t="shared" si="14"/>
        <v>NFSE 45</v>
      </c>
      <c r="T42" s="12"/>
      <c r="U42" s="13"/>
      <c r="V42" s="11" t="str">
        <f t="shared" si="2"/>
        <v>C.JOCIELE NAIARA VAZ PADILHA 06961856950 -  - NFSE 45</v>
      </c>
    </row>
    <row r="43" spans="1:22" outlineLevel="1" x14ac:dyDescent="0.35">
      <c r="A43" s="3"/>
      <c r="B43" s="11" t="s">
        <v>48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 t="s">
        <v>27</v>
      </c>
      <c r="P43" s="1" t="s">
        <v>13</v>
      </c>
      <c r="Q43" s="18" t="str">
        <f t="shared" si="13"/>
        <v>C.JOCIELE NAIARA VAZ PADILHA 06961856950</v>
      </c>
      <c r="R43" s="15"/>
      <c r="S43" s="15" t="str">
        <f t="shared" si="14"/>
        <v>NFSE 45</v>
      </c>
      <c r="T43" s="12"/>
      <c r="U43" s="13"/>
      <c r="V43" s="11" t="str">
        <f t="shared" si="2"/>
        <v>C.JOCIELE NAIARA VAZ PADILHA 06961856950 -  - NFSE 45</v>
      </c>
    </row>
    <row r="44" spans="1:22" outlineLevel="1" x14ac:dyDescent="0.35">
      <c r="A44" s="3"/>
      <c r="B44" s="11" t="s">
        <v>48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27</v>
      </c>
      <c r="P44" s="1" t="s">
        <v>14</v>
      </c>
      <c r="Q44" s="18" t="str">
        <f t="shared" si="13"/>
        <v>C.JOCIELE NAIARA VAZ PADILHA 06961856950</v>
      </c>
      <c r="R44" s="15"/>
      <c r="S44" s="15" t="str">
        <f t="shared" si="14"/>
        <v>NFSE 45</v>
      </c>
      <c r="T44" s="12"/>
      <c r="U44" s="13"/>
      <c r="V44" s="11" t="str">
        <f t="shared" si="2"/>
        <v>C.JOCIELE NAIARA VAZ PADILHA 06961856950 -  - NFSE 45</v>
      </c>
    </row>
    <row r="45" spans="1:22" outlineLevel="1" x14ac:dyDescent="0.35">
      <c r="A45" s="3"/>
      <c r="B45" s="11" t="s">
        <v>48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 t="s">
        <v>27</v>
      </c>
      <c r="P45" s="1" t="s">
        <v>29</v>
      </c>
      <c r="Q45" s="18" t="str">
        <f t="shared" si="13"/>
        <v>C.JOCIELE NAIARA VAZ PADILHA 06961856950</v>
      </c>
      <c r="R45" s="15"/>
      <c r="S45" s="15" t="str">
        <f t="shared" si="14"/>
        <v>NFSE 45</v>
      </c>
      <c r="T45" s="12"/>
      <c r="U45" s="13"/>
      <c r="V45" s="11" t="str">
        <f t="shared" si="2"/>
        <v>C.JOCIELE NAIARA VAZ PADILHA 06961856950 -  - NFSE 45</v>
      </c>
    </row>
    <row r="46" spans="1:22" outlineLevel="1" x14ac:dyDescent="0.35">
      <c r="A46" s="3"/>
      <c r="B46" s="11" t="s">
        <v>48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 t="s">
        <v>27</v>
      </c>
      <c r="P46" s="1" t="s">
        <v>49</v>
      </c>
      <c r="Q46" s="18" t="str">
        <f t="shared" si="13"/>
        <v>C.JOCIELE NAIARA VAZ PADILHA 06961856950</v>
      </c>
      <c r="R46" s="15"/>
      <c r="S46" s="15" t="str">
        <f t="shared" si="14"/>
        <v>NFSE 45</v>
      </c>
      <c r="T46" s="12"/>
      <c r="U46" s="13"/>
      <c r="V46" s="11" t="str">
        <f t="shared" si="2"/>
        <v>C.JOCIELE NAIARA VAZ PADILHA 06961856950 -  - NFSE 45</v>
      </c>
    </row>
    <row r="47" spans="1:22" outlineLevel="1" x14ac:dyDescent="0.35">
      <c r="A47" s="3"/>
      <c r="B47" s="11" t="s">
        <v>48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 t="s">
        <v>27</v>
      </c>
      <c r="P47" s="1" t="s">
        <v>61</v>
      </c>
      <c r="Q47" s="18" t="str">
        <f t="shared" si="13"/>
        <v>C.JOCIELE NAIARA VAZ PADILHA 06961856950</v>
      </c>
      <c r="R47" s="15"/>
      <c r="S47" s="15" t="str">
        <f t="shared" si="13"/>
        <v>NFSE 45</v>
      </c>
      <c r="T47" s="12"/>
      <c r="U47" s="13"/>
      <c r="V47" s="11" t="str">
        <f t="shared" si="2"/>
        <v>C.JOCIELE NAIARA VAZ PADILHA 06961856950 -  - NFSE 45</v>
      </c>
    </row>
    <row r="48" spans="1:22" outlineLevel="1" x14ac:dyDescent="0.35">
      <c r="A48" s="3"/>
      <c r="B48" s="11" t="s">
        <v>48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 t="s">
        <v>27</v>
      </c>
      <c r="P48" s="1" t="s">
        <v>30</v>
      </c>
      <c r="Q48" s="18" t="str">
        <f>Q45</f>
        <v>C.JOCIELE NAIARA VAZ PADILHA 06961856950</v>
      </c>
      <c r="R48" s="15"/>
      <c r="S48" s="15" t="str">
        <f>S45</f>
        <v>NFSE 45</v>
      </c>
      <c r="T48" s="13"/>
      <c r="U48" s="12"/>
      <c r="V48" s="11" t="str">
        <f t="shared" si="2"/>
        <v>C.JOCIELE NAIARA VAZ PADILHA 06961856950 -  - NFSE 45</v>
      </c>
    </row>
    <row r="49" spans="1:22" x14ac:dyDescent="0.35">
      <c r="A49" s="2"/>
      <c r="B49" s="9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 t="s">
        <v>26</v>
      </c>
      <c r="P49" s="9" t="s">
        <v>43</v>
      </c>
      <c r="Q49" s="9" t="s">
        <v>42</v>
      </c>
      <c r="R49" s="19"/>
      <c r="S49" s="19" t="s">
        <v>58</v>
      </c>
      <c r="T49" s="10"/>
      <c r="U49" s="10">
        <f>SUM(T50:T57)-SUM(U50:U57)</f>
        <v>0</v>
      </c>
      <c r="V49" s="9" t="str">
        <f t="shared" si="2"/>
        <v>C.51.727.297 RAFAEL FERREIRA DA SILVA -  - NFSE 31</v>
      </c>
    </row>
    <row r="50" spans="1:22" outlineLevel="1" x14ac:dyDescent="0.35">
      <c r="A50" s="3"/>
      <c r="B50" s="11" t="s">
        <v>48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 t="s">
        <v>27</v>
      </c>
      <c r="P50" s="4" t="s">
        <v>0</v>
      </c>
      <c r="Q50" s="18" t="str">
        <f t="shared" ref="Q50:S56" si="15">Q49</f>
        <v>C.51.727.297 RAFAEL FERREIRA DA SILVA</v>
      </c>
      <c r="R50" s="15"/>
      <c r="S50" s="15" t="str">
        <f t="shared" ref="S50:S55" si="16">S49</f>
        <v>NFSE 31</v>
      </c>
      <c r="T50" s="12"/>
      <c r="U50" s="13"/>
      <c r="V50" s="11" t="str">
        <f t="shared" si="2"/>
        <v>C.51.727.297 RAFAEL FERREIRA DA SILVA -  - NFSE 31</v>
      </c>
    </row>
    <row r="51" spans="1:22" outlineLevel="1" x14ac:dyDescent="0.35">
      <c r="A51" s="3"/>
      <c r="B51" s="11" t="s">
        <v>48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 t="s">
        <v>27</v>
      </c>
      <c r="P51" s="1" t="s">
        <v>28</v>
      </c>
      <c r="Q51" s="18" t="str">
        <f t="shared" si="15"/>
        <v>C.51.727.297 RAFAEL FERREIRA DA SILVA</v>
      </c>
      <c r="R51" s="15"/>
      <c r="S51" s="15" t="str">
        <f t="shared" si="16"/>
        <v>NFSE 31</v>
      </c>
      <c r="T51" s="12"/>
      <c r="U51" s="13"/>
      <c r="V51" s="11" t="str">
        <f t="shared" si="2"/>
        <v>C.51.727.297 RAFAEL FERREIRA DA SILVA -  - NFSE 31</v>
      </c>
    </row>
    <row r="52" spans="1:22" outlineLevel="1" x14ac:dyDescent="0.35">
      <c r="A52" s="3"/>
      <c r="B52" s="11" t="s">
        <v>48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 t="s">
        <v>27</v>
      </c>
      <c r="P52" s="1" t="s">
        <v>13</v>
      </c>
      <c r="Q52" s="18" t="str">
        <f t="shared" si="15"/>
        <v>C.51.727.297 RAFAEL FERREIRA DA SILVA</v>
      </c>
      <c r="R52" s="15"/>
      <c r="S52" s="15" t="str">
        <f t="shared" si="16"/>
        <v>NFSE 31</v>
      </c>
      <c r="T52" s="12"/>
      <c r="U52" s="13"/>
      <c r="V52" s="11" t="str">
        <f t="shared" si="2"/>
        <v>C.51.727.297 RAFAEL FERREIRA DA SILVA -  - NFSE 31</v>
      </c>
    </row>
    <row r="53" spans="1:22" outlineLevel="1" x14ac:dyDescent="0.35">
      <c r="A53" s="3"/>
      <c r="B53" s="11" t="s">
        <v>48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 t="s">
        <v>27</v>
      </c>
      <c r="P53" s="1" t="s">
        <v>14</v>
      </c>
      <c r="Q53" s="18" t="str">
        <f t="shared" si="15"/>
        <v>C.51.727.297 RAFAEL FERREIRA DA SILVA</v>
      </c>
      <c r="R53" s="15"/>
      <c r="S53" s="15" t="str">
        <f t="shared" si="16"/>
        <v>NFSE 31</v>
      </c>
      <c r="T53" s="12"/>
      <c r="U53" s="13"/>
      <c r="V53" s="11" t="str">
        <f t="shared" si="2"/>
        <v>C.51.727.297 RAFAEL FERREIRA DA SILVA -  - NFSE 31</v>
      </c>
    </row>
    <row r="54" spans="1:22" outlineLevel="1" x14ac:dyDescent="0.35">
      <c r="A54" s="3"/>
      <c r="B54" s="11" t="s">
        <v>48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 t="s">
        <v>27</v>
      </c>
      <c r="P54" s="1" t="s">
        <v>29</v>
      </c>
      <c r="Q54" s="18" t="str">
        <f t="shared" si="15"/>
        <v>C.51.727.297 RAFAEL FERREIRA DA SILVA</v>
      </c>
      <c r="R54" s="15"/>
      <c r="S54" s="15" t="str">
        <f t="shared" si="16"/>
        <v>NFSE 31</v>
      </c>
      <c r="T54" s="12"/>
      <c r="U54" s="13"/>
      <c r="V54" s="11" t="str">
        <f t="shared" si="2"/>
        <v>C.51.727.297 RAFAEL FERREIRA DA SILVA -  - NFSE 31</v>
      </c>
    </row>
    <row r="55" spans="1:22" outlineLevel="1" x14ac:dyDescent="0.35">
      <c r="A55" s="3"/>
      <c r="B55" s="11" t="s">
        <v>48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 t="s">
        <v>27</v>
      </c>
      <c r="P55" s="1" t="s">
        <v>49</v>
      </c>
      <c r="Q55" s="18" t="str">
        <f t="shared" si="15"/>
        <v>C.51.727.297 RAFAEL FERREIRA DA SILVA</v>
      </c>
      <c r="R55" s="15"/>
      <c r="S55" s="15" t="str">
        <f t="shared" si="16"/>
        <v>NFSE 31</v>
      </c>
      <c r="T55" s="12"/>
      <c r="U55" s="13"/>
      <c r="V55" s="11" t="str">
        <f t="shared" si="2"/>
        <v>C.51.727.297 RAFAEL FERREIRA DA SILVA -  - NFSE 31</v>
      </c>
    </row>
    <row r="56" spans="1:22" outlineLevel="1" x14ac:dyDescent="0.35">
      <c r="A56" s="3"/>
      <c r="B56" s="11" t="s">
        <v>48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 t="s">
        <v>27</v>
      </c>
      <c r="P56" s="1" t="s">
        <v>61</v>
      </c>
      <c r="Q56" s="18" t="str">
        <f t="shared" si="15"/>
        <v>C.51.727.297 RAFAEL FERREIRA DA SILVA</v>
      </c>
      <c r="R56" s="15"/>
      <c r="S56" s="15" t="str">
        <f t="shared" si="15"/>
        <v>NFSE 31</v>
      </c>
      <c r="T56" s="12"/>
      <c r="U56" s="13"/>
      <c r="V56" s="11" t="str">
        <f t="shared" ref="V56" si="17">Q56&amp;" - "&amp;R56&amp;" - "&amp;S56</f>
        <v>C.51.727.297 RAFAEL FERREIRA DA SILVA -  - NFSE 31</v>
      </c>
    </row>
    <row r="57" spans="1:22" outlineLevel="1" x14ac:dyDescent="0.35">
      <c r="A57" s="3"/>
      <c r="B57" s="11" t="s">
        <v>48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 t="s">
        <v>27</v>
      </c>
      <c r="P57" s="1" t="s">
        <v>30</v>
      </c>
      <c r="Q57" s="18" t="str">
        <f>Q54</f>
        <v>C.51.727.297 RAFAEL FERREIRA DA SILVA</v>
      </c>
      <c r="R57" s="15"/>
      <c r="S57" s="15" t="str">
        <f>S54</f>
        <v>NFSE 31</v>
      </c>
      <c r="T57" s="13"/>
      <c r="U57" s="12"/>
      <c r="V57" s="11" t="str">
        <f t="shared" si="2"/>
        <v>C.51.727.297 RAFAEL FERREIRA DA SILVA -  - NFSE 31</v>
      </c>
    </row>
    <row r="58" spans="1:22" x14ac:dyDescent="0.35">
      <c r="A58" s="2"/>
      <c r="B58" s="9" t="s">
        <v>48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 t="s">
        <v>26</v>
      </c>
      <c r="P58" s="9" t="s">
        <v>45</v>
      </c>
      <c r="Q58" s="9" t="s">
        <v>44</v>
      </c>
      <c r="R58" s="19"/>
      <c r="S58" s="19" t="s">
        <v>53</v>
      </c>
      <c r="T58" s="10"/>
      <c r="U58" s="10">
        <f>SUM(T59:T66)-SUM(U59:U66)</f>
        <v>0</v>
      </c>
      <c r="V58" s="9" t="str">
        <f t="shared" si="2"/>
        <v>C.60.969.956 VANESSA VIEGAS SCHLEMMER -  - NFSE 12</v>
      </c>
    </row>
    <row r="59" spans="1:22" outlineLevel="1" x14ac:dyDescent="0.35">
      <c r="A59" s="3"/>
      <c r="B59" s="11" t="s">
        <v>48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 t="s">
        <v>27</v>
      </c>
      <c r="P59" s="4" t="s">
        <v>0</v>
      </c>
      <c r="Q59" s="18" t="str">
        <f t="shared" ref="Q59:S65" si="18">Q58</f>
        <v>C.60.969.956 VANESSA VIEGAS SCHLEMMER</v>
      </c>
      <c r="R59" s="15"/>
      <c r="S59" s="15" t="str">
        <f t="shared" ref="S59:S64" si="19">S58</f>
        <v>NFSE 12</v>
      </c>
      <c r="T59" s="12"/>
      <c r="U59" s="13"/>
      <c r="V59" s="11" t="str">
        <f t="shared" si="2"/>
        <v>C.60.969.956 VANESSA VIEGAS SCHLEMMER -  - NFSE 12</v>
      </c>
    </row>
    <row r="60" spans="1:22" outlineLevel="1" x14ac:dyDescent="0.35">
      <c r="A60" s="3"/>
      <c r="B60" s="11" t="s">
        <v>48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 t="s">
        <v>27</v>
      </c>
      <c r="P60" s="1" t="s">
        <v>28</v>
      </c>
      <c r="Q60" s="18" t="str">
        <f t="shared" si="18"/>
        <v>C.60.969.956 VANESSA VIEGAS SCHLEMMER</v>
      </c>
      <c r="R60" s="15"/>
      <c r="S60" s="15" t="str">
        <f t="shared" si="19"/>
        <v>NFSE 12</v>
      </c>
      <c r="T60" s="12"/>
      <c r="U60" s="13"/>
      <c r="V60" s="11" t="str">
        <f t="shared" si="2"/>
        <v>C.60.969.956 VANESSA VIEGAS SCHLEMMER -  - NFSE 12</v>
      </c>
    </row>
    <row r="61" spans="1:22" outlineLevel="1" x14ac:dyDescent="0.35">
      <c r="A61" s="3"/>
      <c r="B61" s="11" t="s">
        <v>48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 t="s">
        <v>27</v>
      </c>
      <c r="P61" s="1" t="s">
        <v>13</v>
      </c>
      <c r="Q61" s="18" t="str">
        <f t="shared" si="18"/>
        <v>C.60.969.956 VANESSA VIEGAS SCHLEMMER</v>
      </c>
      <c r="R61" s="15"/>
      <c r="S61" s="15" t="str">
        <f t="shared" si="19"/>
        <v>NFSE 12</v>
      </c>
      <c r="T61" s="12"/>
      <c r="U61" s="13"/>
      <c r="V61" s="11" t="str">
        <f t="shared" si="2"/>
        <v>C.60.969.956 VANESSA VIEGAS SCHLEMMER -  - NFSE 12</v>
      </c>
    </row>
    <row r="62" spans="1:22" outlineLevel="1" x14ac:dyDescent="0.35">
      <c r="A62" s="3"/>
      <c r="B62" s="11" t="s">
        <v>48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 t="s">
        <v>27</v>
      </c>
      <c r="P62" s="1" t="s">
        <v>14</v>
      </c>
      <c r="Q62" s="18" t="str">
        <f t="shared" si="18"/>
        <v>C.60.969.956 VANESSA VIEGAS SCHLEMMER</v>
      </c>
      <c r="R62" s="15"/>
      <c r="S62" s="15" t="str">
        <f t="shared" si="19"/>
        <v>NFSE 12</v>
      </c>
      <c r="T62" s="12"/>
      <c r="U62" s="13"/>
      <c r="V62" s="11" t="str">
        <f t="shared" si="2"/>
        <v>C.60.969.956 VANESSA VIEGAS SCHLEMMER -  - NFSE 12</v>
      </c>
    </row>
    <row r="63" spans="1:22" outlineLevel="1" x14ac:dyDescent="0.35">
      <c r="A63" s="3"/>
      <c r="B63" s="11" t="s">
        <v>48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 t="s">
        <v>27</v>
      </c>
      <c r="P63" s="1" t="s">
        <v>29</v>
      </c>
      <c r="Q63" s="18" t="str">
        <f t="shared" si="18"/>
        <v>C.60.969.956 VANESSA VIEGAS SCHLEMMER</v>
      </c>
      <c r="R63" s="15"/>
      <c r="S63" s="15" t="str">
        <f t="shared" si="19"/>
        <v>NFSE 12</v>
      </c>
      <c r="T63" s="12"/>
      <c r="U63" s="13"/>
      <c r="V63" s="11" t="str">
        <f t="shared" si="2"/>
        <v>C.60.969.956 VANESSA VIEGAS SCHLEMMER -  - NFSE 12</v>
      </c>
    </row>
    <row r="64" spans="1:22" outlineLevel="1" x14ac:dyDescent="0.35">
      <c r="A64" s="3"/>
      <c r="B64" s="11" t="s">
        <v>48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 t="s">
        <v>27</v>
      </c>
      <c r="P64" s="1" t="s">
        <v>49</v>
      </c>
      <c r="Q64" s="18" t="str">
        <f t="shared" si="18"/>
        <v>C.60.969.956 VANESSA VIEGAS SCHLEMMER</v>
      </c>
      <c r="R64" s="15"/>
      <c r="S64" s="15" t="str">
        <f t="shared" si="19"/>
        <v>NFSE 12</v>
      </c>
      <c r="T64" s="12"/>
      <c r="U64" s="13"/>
      <c r="V64" s="11" t="str">
        <f t="shared" si="2"/>
        <v>C.60.969.956 VANESSA VIEGAS SCHLEMMER -  - NFSE 12</v>
      </c>
    </row>
    <row r="65" spans="1:22" outlineLevel="1" x14ac:dyDescent="0.35">
      <c r="A65" s="3"/>
      <c r="B65" s="11" t="s">
        <v>48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 t="s">
        <v>27</v>
      </c>
      <c r="P65" s="1" t="s">
        <v>61</v>
      </c>
      <c r="Q65" s="18" t="str">
        <f t="shared" si="18"/>
        <v>C.60.969.956 VANESSA VIEGAS SCHLEMMER</v>
      </c>
      <c r="R65" s="15"/>
      <c r="S65" s="15" t="str">
        <f t="shared" si="18"/>
        <v>NFSE 12</v>
      </c>
      <c r="T65" s="12"/>
      <c r="U65" s="13"/>
      <c r="V65" s="11" t="str">
        <f t="shared" si="2"/>
        <v>C.60.969.956 VANESSA VIEGAS SCHLEMMER -  - NFSE 12</v>
      </c>
    </row>
    <row r="66" spans="1:22" outlineLevel="1" x14ac:dyDescent="0.35">
      <c r="A66" s="3"/>
      <c r="B66" s="11" t="s">
        <v>48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 t="s">
        <v>27</v>
      </c>
      <c r="P66" s="1" t="s">
        <v>30</v>
      </c>
      <c r="Q66" s="18" t="str">
        <f>Q63</f>
        <v>C.60.969.956 VANESSA VIEGAS SCHLEMMER</v>
      </c>
      <c r="R66" s="15"/>
      <c r="S66" s="15" t="str">
        <f>S63</f>
        <v>NFSE 12</v>
      </c>
      <c r="T66" s="13"/>
      <c r="U66" s="12"/>
      <c r="V66" s="11" t="str">
        <f t="shared" si="2"/>
        <v>C.60.969.956 VANESSA VIEGAS SCHLEMMER -  - NFSE 12</v>
      </c>
    </row>
    <row r="67" spans="1:22" x14ac:dyDescent="0.35">
      <c r="A67" s="2"/>
      <c r="B67" s="9" t="s">
        <v>48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 t="s">
        <v>26</v>
      </c>
      <c r="P67" s="9" t="s">
        <v>47</v>
      </c>
      <c r="Q67" s="9" t="s">
        <v>46</v>
      </c>
      <c r="R67" s="19"/>
      <c r="S67" s="19" t="s">
        <v>59</v>
      </c>
      <c r="T67" s="10"/>
      <c r="U67" s="10">
        <f>SUM(T68:T75)-SUM(U68:U75)</f>
        <v>0</v>
      </c>
      <c r="V67" s="9" t="str">
        <f t="shared" ref="V67:V75" si="20">Q67&amp;" - "&amp;R67&amp;" - "&amp;S67</f>
        <v>C.54.862.939 WILLIAMS SANTOS DE ANDRADE -  - NFSE 36</v>
      </c>
    </row>
    <row r="68" spans="1:22" outlineLevel="1" x14ac:dyDescent="0.35">
      <c r="A68" s="1"/>
      <c r="B68" s="4" t="s">
        <v>48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 t="s">
        <v>27</v>
      </c>
      <c r="P68" s="4" t="s">
        <v>0</v>
      </c>
      <c r="Q68" s="18" t="str">
        <f t="shared" ref="Q68:S74" si="21">Q67</f>
        <v>C.54.862.939 WILLIAMS SANTOS DE ANDRADE</v>
      </c>
      <c r="R68" s="15"/>
      <c r="S68" s="16" t="str">
        <f t="shared" ref="S68:S73" si="22">S67</f>
        <v>NFSE 36</v>
      </c>
      <c r="T68" s="12"/>
      <c r="U68" s="13"/>
      <c r="V68" s="4" t="str">
        <f t="shared" si="20"/>
        <v>C.54.862.939 WILLIAMS SANTOS DE ANDRADE -  - NFSE 36</v>
      </c>
    </row>
    <row r="69" spans="1:22" outlineLevel="1" x14ac:dyDescent="0.35">
      <c r="A69" s="1"/>
      <c r="B69" s="1" t="s">
        <v>48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27</v>
      </c>
      <c r="P69" s="1" t="s">
        <v>28</v>
      </c>
      <c r="Q69" s="18" t="str">
        <f t="shared" si="21"/>
        <v>C.54.862.939 WILLIAMS SANTOS DE ANDRADE</v>
      </c>
      <c r="R69" s="15"/>
      <c r="S69" s="17" t="str">
        <f t="shared" si="22"/>
        <v>NFSE 36</v>
      </c>
      <c r="T69" s="12"/>
      <c r="U69" s="13"/>
      <c r="V69" s="1" t="str">
        <f t="shared" si="20"/>
        <v>C.54.862.939 WILLIAMS SANTOS DE ANDRADE -  - NFSE 36</v>
      </c>
    </row>
    <row r="70" spans="1:22" outlineLevel="1" x14ac:dyDescent="0.35">
      <c r="A70" s="1"/>
      <c r="B70" s="1" t="s">
        <v>48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 t="s">
        <v>27</v>
      </c>
      <c r="P70" s="1" t="s">
        <v>13</v>
      </c>
      <c r="Q70" s="18" t="str">
        <f t="shared" si="21"/>
        <v>C.54.862.939 WILLIAMS SANTOS DE ANDRADE</v>
      </c>
      <c r="R70" s="15"/>
      <c r="S70" s="17" t="str">
        <f t="shared" si="22"/>
        <v>NFSE 36</v>
      </c>
      <c r="T70" s="12"/>
      <c r="U70" s="13"/>
      <c r="V70" s="1" t="str">
        <f t="shared" si="20"/>
        <v>C.54.862.939 WILLIAMS SANTOS DE ANDRADE -  - NFSE 36</v>
      </c>
    </row>
    <row r="71" spans="1:22" outlineLevel="1" x14ac:dyDescent="0.35">
      <c r="A71" s="1"/>
      <c r="B71" s="1" t="s">
        <v>48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 t="s">
        <v>27</v>
      </c>
      <c r="P71" s="1" t="s">
        <v>14</v>
      </c>
      <c r="Q71" s="18" t="str">
        <f t="shared" si="21"/>
        <v>C.54.862.939 WILLIAMS SANTOS DE ANDRADE</v>
      </c>
      <c r="R71" s="15"/>
      <c r="S71" s="17" t="str">
        <f t="shared" si="22"/>
        <v>NFSE 36</v>
      </c>
      <c r="T71" s="12"/>
      <c r="U71" s="13"/>
      <c r="V71" s="1" t="str">
        <f t="shared" si="20"/>
        <v>C.54.862.939 WILLIAMS SANTOS DE ANDRADE -  - NFSE 36</v>
      </c>
    </row>
    <row r="72" spans="1:22" outlineLevel="1" x14ac:dyDescent="0.35">
      <c r="A72" s="1"/>
      <c r="B72" s="1" t="s">
        <v>48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 t="s">
        <v>27</v>
      </c>
      <c r="P72" s="1" t="s">
        <v>29</v>
      </c>
      <c r="Q72" s="18" t="str">
        <f t="shared" si="21"/>
        <v>C.54.862.939 WILLIAMS SANTOS DE ANDRADE</v>
      </c>
      <c r="R72" s="15"/>
      <c r="S72" s="17" t="str">
        <f t="shared" si="22"/>
        <v>NFSE 36</v>
      </c>
      <c r="T72" s="12"/>
      <c r="U72" s="13"/>
      <c r="V72" s="1" t="str">
        <f t="shared" si="20"/>
        <v>C.54.862.939 WILLIAMS SANTOS DE ANDRADE -  - NFSE 36</v>
      </c>
    </row>
    <row r="73" spans="1:22" outlineLevel="1" x14ac:dyDescent="0.35">
      <c r="A73" s="3"/>
      <c r="B73" s="11" t="s">
        <v>48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 t="s">
        <v>27</v>
      </c>
      <c r="P73" s="1" t="s">
        <v>49</v>
      </c>
      <c r="Q73" s="18" t="str">
        <f t="shared" si="21"/>
        <v>C.54.862.939 WILLIAMS SANTOS DE ANDRADE</v>
      </c>
      <c r="R73" s="15"/>
      <c r="S73" s="15" t="str">
        <f t="shared" si="22"/>
        <v>NFSE 36</v>
      </c>
      <c r="T73" s="12"/>
      <c r="U73" s="13"/>
      <c r="V73" s="11" t="str">
        <f t="shared" si="20"/>
        <v>C.54.862.939 WILLIAMS SANTOS DE ANDRADE -  - NFSE 36</v>
      </c>
    </row>
    <row r="74" spans="1:22" outlineLevel="1" x14ac:dyDescent="0.35">
      <c r="A74" s="3"/>
      <c r="B74" s="11" t="s">
        <v>48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 t="s">
        <v>27</v>
      </c>
      <c r="P74" s="1" t="s">
        <v>61</v>
      </c>
      <c r="Q74" s="18" t="str">
        <f t="shared" si="21"/>
        <v>C.54.862.939 WILLIAMS SANTOS DE ANDRADE</v>
      </c>
      <c r="R74" s="15"/>
      <c r="S74" s="15" t="str">
        <f t="shared" si="21"/>
        <v>NFSE 36</v>
      </c>
      <c r="T74" s="12"/>
      <c r="U74" s="13"/>
      <c r="V74" s="11" t="str">
        <f t="shared" si="20"/>
        <v>C.54.862.939 WILLIAMS SANTOS DE ANDRADE -  - NFSE 36</v>
      </c>
    </row>
    <row r="75" spans="1:22" outlineLevel="1" x14ac:dyDescent="0.35">
      <c r="A75" s="1"/>
      <c r="B75" s="1" t="s">
        <v>48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 t="s">
        <v>27</v>
      </c>
      <c r="P75" s="1" t="s">
        <v>30</v>
      </c>
      <c r="Q75" s="18" t="str">
        <f>Q72</f>
        <v>C.54.862.939 WILLIAMS SANTOS DE ANDRADE</v>
      </c>
      <c r="R75" s="15"/>
      <c r="S75" s="17" t="str">
        <f>S72</f>
        <v>NFSE 36</v>
      </c>
      <c r="T75" s="13"/>
      <c r="U75" s="12"/>
      <c r="V75" s="1" t="str">
        <f t="shared" si="20"/>
        <v>C.54.862.939 WILLIAMS SANTOS DE ANDRADE -  - NFSE 36</v>
      </c>
    </row>
    <row r="76" spans="1:22" x14ac:dyDescent="0.35">
      <c r="B76" s="9" t="s">
        <v>48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 t="s">
        <v>26</v>
      </c>
      <c r="P76" s="9" t="s">
        <v>63</v>
      </c>
      <c r="Q76" s="9" t="s">
        <v>64</v>
      </c>
      <c r="R76" s="19"/>
      <c r="S76" s="19" t="s">
        <v>59</v>
      </c>
      <c r="T76" s="10"/>
      <c r="U76" s="10">
        <f>SUM(T77:T84)-SUM(U77:U84)</f>
        <v>0</v>
      </c>
      <c r="V76" s="9" t="str">
        <f t="shared" ref="V76:V84" si="23">Q76&amp;" - "&amp;R76&amp;" - "&amp;S76</f>
        <v>C.LINE UP COMERCIO DE PRODUTOS  ARTESANAIS  LTDA -  - NFSE 36</v>
      </c>
    </row>
    <row r="77" spans="1:22" x14ac:dyDescent="0.35">
      <c r="B77" s="4" t="s">
        <v>48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 t="s">
        <v>27</v>
      </c>
      <c r="P77" s="4" t="s">
        <v>0</v>
      </c>
      <c r="Q77" s="18" t="str">
        <f t="shared" ref="Q77:S82" si="24">Q76</f>
        <v>C.LINE UP COMERCIO DE PRODUTOS  ARTESANAIS  LTDA</v>
      </c>
      <c r="R77" s="15"/>
      <c r="S77" s="16" t="str">
        <f t="shared" si="24"/>
        <v>NFSE 36</v>
      </c>
      <c r="T77" s="12"/>
      <c r="U77" s="13"/>
      <c r="V77" s="4" t="str">
        <f t="shared" si="23"/>
        <v>C.LINE UP COMERCIO DE PRODUTOS  ARTESANAIS  LTDA -  - NFSE 36</v>
      </c>
    </row>
    <row r="78" spans="1:22" x14ac:dyDescent="0.35">
      <c r="B78" s="1" t="s">
        <v>48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 t="s">
        <v>27</v>
      </c>
      <c r="P78" s="1" t="s">
        <v>28</v>
      </c>
      <c r="Q78" s="18" t="str">
        <f t="shared" ref="Q78" si="25">Q77</f>
        <v>C.LINE UP COMERCIO DE PRODUTOS  ARTESANAIS  LTDA</v>
      </c>
      <c r="R78" s="15"/>
      <c r="S78" s="17" t="str">
        <f t="shared" si="24"/>
        <v>NFSE 36</v>
      </c>
      <c r="T78" s="12"/>
      <c r="U78" s="13"/>
      <c r="V78" s="1" t="str">
        <f t="shared" si="23"/>
        <v>C.LINE UP COMERCIO DE PRODUTOS  ARTESANAIS  LTDA -  - NFSE 36</v>
      </c>
    </row>
    <row r="79" spans="1:22" x14ac:dyDescent="0.35">
      <c r="B79" s="1" t="s">
        <v>48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 t="s">
        <v>27</v>
      </c>
      <c r="P79" s="1" t="s">
        <v>13</v>
      </c>
      <c r="Q79" s="18" t="str">
        <f t="shared" ref="Q79" si="26">Q78</f>
        <v>C.LINE UP COMERCIO DE PRODUTOS  ARTESANAIS  LTDA</v>
      </c>
      <c r="R79" s="15"/>
      <c r="S79" s="17" t="str">
        <f t="shared" si="24"/>
        <v>NFSE 36</v>
      </c>
      <c r="T79" s="12"/>
      <c r="U79" s="13"/>
      <c r="V79" s="1" t="str">
        <f t="shared" si="23"/>
        <v>C.LINE UP COMERCIO DE PRODUTOS  ARTESANAIS  LTDA -  - NFSE 36</v>
      </c>
    </row>
    <row r="80" spans="1:22" x14ac:dyDescent="0.35">
      <c r="B80" s="1" t="s">
        <v>48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 t="s">
        <v>27</v>
      </c>
      <c r="P80" s="1" t="s">
        <v>14</v>
      </c>
      <c r="Q80" s="18" t="str">
        <f t="shared" ref="Q80" si="27">Q79</f>
        <v>C.LINE UP COMERCIO DE PRODUTOS  ARTESANAIS  LTDA</v>
      </c>
      <c r="R80" s="15"/>
      <c r="S80" s="17" t="str">
        <f t="shared" si="24"/>
        <v>NFSE 36</v>
      </c>
      <c r="T80" s="12"/>
      <c r="U80" s="13"/>
      <c r="V80" s="1" t="str">
        <f t="shared" si="23"/>
        <v>C.LINE UP COMERCIO DE PRODUTOS  ARTESANAIS  LTDA -  - NFSE 36</v>
      </c>
    </row>
    <row r="81" spans="2:22" x14ac:dyDescent="0.35">
      <c r="B81" s="1" t="s">
        <v>48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 t="s">
        <v>27</v>
      </c>
      <c r="P81" s="1" t="s">
        <v>29</v>
      </c>
      <c r="Q81" s="18" t="str">
        <f t="shared" ref="Q81" si="28">Q80</f>
        <v>C.LINE UP COMERCIO DE PRODUTOS  ARTESANAIS  LTDA</v>
      </c>
      <c r="R81" s="15"/>
      <c r="S81" s="17" t="str">
        <f t="shared" si="24"/>
        <v>NFSE 36</v>
      </c>
      <c r="T81" s="12"/>
      <c r="U81" s="13"/>
      <c r="V81" s="1" t="str">
        <f t="shared" si="23"/>
        <v>C.LINE UP COMERCIO DE PRODUTOS  ARTESANAIS  LTDA -  - NFSE 36</v>
      </c>
    </row>
    <row r="82" spans="2:22" x14ac:dyDescent="0.35">
      <c r="B82" s="11" t="s">
        <v>48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 t="s">
        <v>27</v>
      </c>
      <c r="P82" s="1" t="s">
        <v>49</v>
      </c>
      <c r="Q82" s="18" t="str">
        <f t="shared" ref="Q82" si="29">Q81</f>
        <v>C.LINE UP COMERCIO DE PRODUTOS  ARTESANAIS  LTDA</v>
      </c>
      <c r="R82" s="15"/>
      <c r="S82" s="15" t="str">
        <f t="shared" si="24"/>
        <v>NFSE 36</v>
      </c>
      <c r="T82" s="12"/>
      <c r="U82" s="13"/>
      <c r="V82" s="11" t="str">
        <f t="shared" si="23"/>
        <v>C.LINE UP COMERCIO DE PRODUTOS  ARTESANAIS  LTDA -  - NFSE 36</v>
      </c>
    </row>
    <row r="83" spans="2:22" x14ac:dyDescent="0.35">
      <c r="B83" s="11" t="s">
        <v>48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 t="s">
        <v>27</v>
      </c>
      <c r="P83" s="1" t="s">
        <v>61</v>
      </c>
      <c r="Q83" s="18" t="str">
        <f t="shared" ref="Q83:S83" si="30">Q82</f>
        <v>C.LINE UP COMERCIO DE PRODUTOS  ARTESANAIS  LTDA</v>
      </c>
      <c r="R83" s="15"/>
      <c r="S83" s="15" t="str">
        <f t="shared" si="30"/>
        <v>NFSE 36</v>
      </c>
      <c r="T83" s="12"/>
      <c r="U83" s="13"/>
      <c r="V83" s="11" t="str">
        <f t="shared" si="23"/>
        <v>C.LINE UP COMERCIO DE PRODUTOS  ARTESANAIS  LTDA -  - NFSE 36</v>
      </c>
    </row>
    <row r="84" spans="2:22" x14ac:dyDescent="0.35">
      <c r="B84" s="1" t="s">
        <v>48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 t="s">
        <v>27</v>
      </c>
      <c r="P84" s="1" t="s">
        <v>30</v>
      </c>
      <c r="Q84" s="18" t="str">
        <f>Q81</f>
        <v>C.LINE UP COMERCIO DE PRODUTOS  ARTESANAIS  LTDA</v>
      </c>
      <c r="R84" s="15"/>
      <c r="S84" s="17" t="str">
        <f>S81</f>
        <v>NFSE 36</v>
      </c>
      <c r="T84" s="13"/>
      <c r="U84" s="12"/>
      <c r="V84" s="1" t="str">
        <f t="shared" si="23"/>
        <v>C.LINE UP COMERCIO DE PRODUTOS  ARTESANAIS  LTDA -  - NFSE 36</v>
      </c>
    </row>
    <row r="85" spans="2:22" x14ac:dyDescent="0.35">
      <c r="B85" s="9" t="s">
        <v>48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 t="s">
        <v>26</v>
      </c>
      <c r="P85" s="9" t="s">
        <v>72</v>
      </c>
      <c r="Q85" s="9" t="s">
        <v>71</v>
      </c>
      <c r="R85" s="19"/>
      <c r="S85" s="19" t="s">
        <v>59</v>
      </c>
      <c r="T85" s="10"/>
      <c r="U85" s="10">
        <f>SUM(T86:T93)-SUM(U86:U93)</f>
        <v>0</v>
      </c>
      <c r="V85" s="9" t="str">
        <f t="shared" ref="V85:V93" si="31">Q85&amp;" - "&amp;R85&amp;" - "&amp;S85</f>
        <v>C.GISELE PRIEBE PINHEIRO LTDA -  - NFSE 36</v>
      </c>
    </row>
    <row r="86" spans="2:22" x14ac:dyDescent="0.35">
      <c r="B86" s="4" t="s">
        <v>48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 t="s">
        <v>27</v>
      </c>
      <c r="P86" s="4" t="s">
        <v>0</v>
      </c>
      <c r="Q86" s="18" t="str">
        <f t="shared" ref="Q86:S86" si="32">Q85</f>
        <v>C.GISELE PRIEBE PINHEIRO LTDA</v>
      </c>
      <c r="R86" s="15"/>
      <c r="S86" s="16" t="str">
        <f t="shared" si="32"/>
        <v>NFSE 36</v>
      </c>
      <c r="T86" s="12"/>
      <c r="U86" s="13"/>
      <c r="V86" s="4" t="str">
        <f t="shared" si="31"/>
        <v>C.GISELE PRIEBE PINHEIRO LTDA -  - NFSE 36</v>
      </c>
    </row>
    <row r="87" spans="2:22" x14ac:dyDescent="0.35">
      <c r="B87" s="1" t="s">
        <v>48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 t="s">
        <v>27</v>
      </c>
      <c r="P87" s="1" t="s">
        <v>28</v>
      </c>
      <c r="Q87" s="18" t="str">
        <f t="shared" ref="Q87:S87" si="33">Q86</f>
        <v>C.GISELE PRIEBE PINHEIRO LTDA</v>
      </c>
      <c r="R87" s="15"/>
      <c r="S87" s="17" t="str">
        <f t="shared" si="33"/>
        <v>NFSE 36</v>
      </c>
      <c r="T87" s="12"/>
      <c r="U87" s="13"/>
      <c r="V87" s="1" t="str">
        <f t="shared" si="31"/>
        <v>C.GISELE PRIEBE PINHEIRO LTDA -  - NFSE 36</v>
      </c>
    </row>
    <row r="88" spans="2:22" x14ac:dyDescent="0.35">
      <c r="B88" s="1" t="s">
        <v>48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 t="s">
        <v>27</v>
      </c>
      <c r="P88" s="1" t="s">
        <v>13</v>
      </c>
      <c r="Q88" s="18" t="str">
        <f t="shared" ref="Q88:S88" si="34">Q87</f>
        <v>C.GISELE PRIEBE PINHEIRO LTDA</v>
      </c>
      <c r="R88" s="15"/>
      <c r="S88" s="17" t="str">
        <f t="shared" si="34"/>
        <v>NFSE 36</v>
      </c>
      <c r="T88" s="12"/>
      <c r="U88" s="13"/>
      <c r="V88" s="1" t="str">
        <f t="shared" si="31"/>
        <v>C.GISELE PRIEBE PINHEIRO LTDA -  - NFSE 36</v>
      </c>
    </row>
    <row r="89" spans="2:22" x14ac:dyDescent="0.35">
      <c r="B89" s="1" t="s">
        <v>48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 t="s">
        <v>27</v>
      </c>
      <c r="P89" s="1" t="s">
        <v>14</v>
      </c>
      <c r="Q89" s="18" t="str">
        <f t="shared" ref="Q89:S89" si="35">Q88</f>
        <v>C.GISELE PRIEBE PINHEIRO LTDA</v>
      </c>
      <c r="R89" s="15"/>
      <c r="S89" s="17" t="str">
        <f t="shared" si="35"/>
        <v>NFSE 36</v>
      </c>
      <c r="T89" s="12"/>
      <c r="U89" s="13"/>
      <c r="V89" s="1" t="str">
        <f t="shared" si="31"/>
        <v>C.GISELE PRIEBE PINHEIRO LTDA -  - NFSE 36</v>
      </c>
    </row>
    <row r="90" spans="2:22" x14ac:dyDescent="0.35">
      <c r="B90" s="1" t="s">
        <v>48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 t="s">
        <v>27</v>
      </c>
      <c r="P90" s="1" t="s">
        <v>29</v>
      </c>
      <c r="Q90" s="18" t="str">
        <f t="shared" ref="Q90:S90" si="36">Q89</f>
        <v>C.GISELE PRIEBE PINHEIRO LTDA</v>
      </c>
      <c r="R90" s="15"/>
      <c r="S90" s="17" t="str">
        <f t="shared" si="36"/>
        <v>NFSE 36</v>
      </c>
      <c r="T90" s="12"/>
      <c r="U90" s="13"/>
      <c r="V90" s="1" t="str">
        <f t="shared" si="31"/>
        <v>C.GISELE PRIEBE PINHEIRO LTDA -  - NFSE 36</v>
      </c>
    </row>
    <row r="91" spans="2:22" x14ac:dyDescent="0.35">
      <c r="B91" s="11" t="s">
        <v>48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 t="s">
        <v>27</v>
      </c>
      <c r="P91" s="1" t="s">
        <v>49</v>
      </c>
      <c r="Q91" s="18" t="str">
        <f t="shared" ref="Q91:S91" si="37">Q90</f>
        <v>C.GISELE PRIEBE PINHEIRO LTDA</v>
      </c>
      <c r="R91" s="15"/>
      <c r="S91" s="15" t="str">
        <f t="shared" si="37"/>
        <v>NFSE 36</v>
      </c>
      <c r="T91" s="12"/>
      <c r="U91" s="13"/>
      <c r="V91" s="11" t="str">
        <f t="shared" si="31"/>
        <v>C.GISELE PRIEBE PINHEIRO LTDA -  - NFSE 36</v>
      </c>
    </row>
    <row r="92" spans="2:22" x14ac:dyDescent="0.35">
      <c r="B92" s="11" t="s">
        <v>48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 t="s">
        <v>27</v>
      </c>
      <c r="P92" s="1" t="s">
        <v>61</v>
      </c>
      <c r="Q92" s="18" t="str">
        <f t="shared" ref="Q92:S92" si="38">Q91</f>
        <v>C.GISELE PRIEBE PINHEIRO LTDA</v>
      </c>
      <c r="R92" s="15"/>
      <c r="S92" s="15" t="str">
        <f t="shared" si="38"/>
        <v>NFSE 36</v>
      </c>
      <c r="T92" s="12"/>
      <c r="U92" s="13"/>
      <c r="V92" s="11" t="str">
        <f t="shared" si="31"/>
        <v>C.GISELE PRIEBE PINHEIRO LTDA -  - NFSE 36</v>
      </c>
    </row>
    <row r="93" spans="2:22" x14ac:dyDescent="0.35">
      <c r="B93" s="1" t="s">
        <v>48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 t="s">
        <v>27</v>
      </c>
      <c r="P93" s="1" t="s">
        <v>30</v>
      </c>
      <c r="Q93" s="18" t="str">
        <f>Q90</f>
        <v>C.GISELE PRIEBE PINHEIRO LTDA</v>
      </c>
      <c r="R93" s="15"/>
      <c r="S93" s="17" t="str">
        <f>S90</f>
        <v>NFSE 36</v>
      </c>
      <c r="T93" s="13"/>
      <c r="U93" s="12"/>
      <c r="V93" s="1" t="str">
        <f t="shared" si="31"/>
        <v>C.GISELE PRIEBE PINHEIRO LTDA -  - NFSE 36</v>
      </c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5C99-F1B1-4CAD-97DB-0C2632E586A5}">
  <dimension ref="A1:V29"/>
  <sheetViews>
    <sheetView showGridLines="0" topLeftCell="B1" workbookViewId="0">
      <selection activeCell="Q9" sqref="Q9"/>
    </sheetView>
  </sheetViews>
  <sheetFormatPr defaultRowHeight="14.5" outlineLevelRow="1" x14ac:dyDescent="0.35"/>
  <cols>
    <col min="1" max="1" width="13.26953125" hidden="1" customWidth="1"/>
    <col min="2" max="2" width="13.26953125" customWidth="1"/>
    <col min="3" max="3" width="13.26953125" hidden="1" customWidth="1"/>
    <col min="4" max="6" width="13.26953125" customWidth="1"/>
    <col min="7" max="13" width="13.26953125" hidden="1" customWidth="1"/>
    <col min="14" max="16" width="13.26953125" customWidth="1"/>
    <col min="17" max="17" width="50.81640625" bestFit="1" customWidth="1"/>
    <col min="18" max="18" width="17.453125" customWidth="1"/>
    <col min="19" max="19" width="15.1796875" customWidth="1"/>
    <col min="20" max="21" width="13.26953125" customWidth="1"/>
    <col min="22" max="22" width="72" bestFit="1" customWidth="1"/>
  </cols>
  <sheetData>
    <row r="1" spans="1:22" ht="72.5" x14ac:dyDescent="0.35">
      <c r="A1" s="14" t="s">
        <v>15</v>
      </c>
      <c r="B1" s="5" t="s">
        <v>16</v>
      </c>
      <c r="C1" s="5" t="s">
        <v>17</v>
      </c>
      <c r="D1" s="5" t="s">
        <v>8</v>
      </c>
      <c r="E1" s="5" t="s">
        <v>7</v>
      </c>
      <c r="F1" s="5" t="s">
        <v>9</v>
      </c>
      <c r="G1" s="5" t="s">
        <v>3</v>
      </c>
      <c r="H1" s="5" t="s">
        <v>18</v>
      </c>
      <c r="I1" s="5" t="s">
        <v>19</v>
      </c>
      <c r="J1" s="5" t="s">
        <v>20</v>
      </c>
      <c r="K1" s="5" t="s">
        <v>4</v>
      </c>
      <c r="L1" s="5" t="s">
        <v>5</v>
      </c>
      <c r="M1" s="5" t="s">
        <v>6</v>
      </c>
      <c r="N1" s="5" t="s">
        <v>21</v>
      </c>
      <c r="O1" s="5" t="s">
        <v>22</v>
      </c>
      <c r="P1" s="5" t="s">
        <v>23</v>
      </c>
      <c r="Q1" s="5" t="s">
        <v>33</v>
      </c>
      <c r="R1" s="5" t="s">
        <v>34</v>
      </c>
      <c r="S1" s="5" t="s">
        <v>35</v>
      </c>
      <c r="T1" s="5" t="s">
        <v>1</v>
      </c>
      <c r="U1" s="5" t="s">
        <v>2</v>
      </c>
      <c r="V1" s="5" t="s">
        <v>24</v>
      </c>
    </row>
    <row r="2" spans="1:22" x14ac:dyDescent="0.35">
      <c r="A2" s="2"/>
      <c r="B2" s="5" t="s">
        <v>25</v>
      </c>
      <c r="C2" s="6"/>
      <c r="D2" s="7">
        <v>46081</v>
      </c>
      <c r="E2" s="7">
        <v>46087</v>
      </c>
      <c r="F2" s="7">
        <v>46081</v>
      </c>
      <c r="G2" s="8"/>
      <c r="H2" s="8"/>
      <c r="I2" s="8"/>
      <c r="J2" s="8"/>
      <c r="K2" s="8"/>
      <c r="L2" s="8"/>
      <c r="M2" s="8"/>
      <c r="N2" s="8" t="s">
        <v>12</v>
      </c>
      <c r="O2" s="8"/>
      <c r="P2" s="8"/>
      <c r="Q2" s="8"/>
      <c r="R2" s="8"/>
      <c r="S2" s="8"/>
      <c r="T2" s="8"/>
      <c r="U2" s="8"/>
      <c r="V2" s="8"/>
    </row>
    <row r="3" spans="1:22" x14ac:dyDescent="0.35">
      <c r="A3" s="2"/>
      <c r="B3" s="9" t="s">
        <v>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26</v>
      </c>
      <c r="P3" s="9" t="s">
        <v>10</v>
      </c>
      <c r="Q3" s="9" t="s">
        <v>11</v>
      </c>
      <c r="R3" s="19" t="s">
        <v>70</v>
      </c>
      <c r="S3" s="19" t="s">
        <v>69</v>
      </c>
      <c r="T3" s="10"/>
      <c r="U3" s="10">
        <f>T4</f>
        <v>0</v>
      </c>
      <c r="V3" s="9" t="str">
        <f>Q3&amp;" - "&amp;R3&amp;" - "&amp;S3</f>
        <v>C.ANA CRISTINA WRUCH - 03.2026 - Adiantamento</v>
      </c>
    </row>
    <row r="4" spans="1:22" hidden="1" outlineLevel="1" x14ac:dyDescent="0.35">
      <c r="A4" s="3"/>
      <c r="B4" s="11" t="s">
        <v>48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 t="s">
        <v>27</v>
      </c>
      <c r="P4" s="4" t="s">
        <v>62</v>
      </c>
      <c r="Q4" s="18" t="str">
        <f t="shared" ref="Q4:S4" si="0">Q3</f>
        <v>C.ANA CRISTINA WRUCH</v>
      </c>
      <c r="R4" s="15" t="str">
        <f t="shared" si="0"/>
        <v>03.2026</v>
      </c>
      <c r="S4" s="15" t="str">
        <f t="shared" si="0"/>
        <v>Adiantamento</v>
      </c>
      <c r="T4" s="12"/>
      <c r="U4" s="13"/>
      <c r="V4" s="11" t="str">
        <f t="shared" ref="V4:V24" si="1">Q4&amp;" - "&amp;R4&amp;" - "&amp;S4</f>
        <v>C.ANA CRISTINA WRUCH - 03.2026 - Adiantamento</v>
      </c>
    </row>
    <row r="5" spans="1:22" collapsed="1" x14ac:dyDescent="0.35">
      <c r="A5" s="2"/>
      <c r="B5" s="9" t="s">
        <v>48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 t="s">
        <v>26</v>
      </c>
      <c r="P5" s="9" t="s">
        <v>31</v>
      </c>
      <c r="Q5" s="9" t="s">
        <v>32</v>
      </c>
      <c r="R5" s="19" t="s">
        <v>70</v>
      </c>
      <c r="S5" s="19" t="s">
        <v>69</v>
      </c>
      <c r="T5" s="10"/>
      <c r="U5" s="10">
        <f>SUM(T6:T6)-SUM(U6:U6)</f>
        <v>0</v>
      </c>
      <c r="V5" s="9" t="str">
        <f t="shared" si="1"/>
        <v>C.61.454.986 ELIZEU FERNANDES DE CARVALHO - 03.2026 - Adiantamento</v>
      </c>
    </row>
    <row r="6" spans="1:22" hidden="1" outlineLevel="1" x14ac:dyDescent="0.35">
      <c r="A6" s="3"/>
      <c r="B6" s="11" t="s">
        <v>48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 t="s">
        <v>27</v>
      </c>
      <c r="P6" s="4" t="s">
        <v>62</v>
      </c>
      <c r="Q6" s="18" t="str">
        <f t="shared" ref="Q6:S6" si="2">Q5</f>
        <v>C.61.454.986 ELIZEU FERNANDES DE CARVALHO</v>
      </c>
      <c r="R6" s="15" t="str">
        <f t="shared" si="2"/>
        <v>03.2026</v>
      </c>
      <c r="S6" s="15" t="str">
        <f t="shared" si="2"/>
        <v>Adiantamento</v>
      </c>
      <c r="T6" s="12"/>
      <c r="U6" s="13"/>
      <c r="V6" s="11" t="str">
        <f t="shared" si="1"/>
        <v>C.61.454.986 ELIZEU FERNANDES DE CARVALHO - 03.2026 - Adiantamento</v>
      </c>
    </row>
    <row r="7" spans="1:22" collapsed="1" x14ac:dyDescent="0.35">
      <c r="A7" s="2"/>
      <c r="B7" s="9" t="s">
        <v>48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 t="s">
        <v>26</v>
      </c>
      <c r="P7" s="9" t="s">
        <v>36</v>
      </c>
      <c r="Q7" s="9" t="s">
        <v>37</v>
      </c>
      <c r="R7" s="19" t="s">
        <v>70</v>
      </c>
      <c r="S7" s="19" t="s">
        <v>69</v>
      </c>
      <c r="T7" s="10"/>
      <c r="U7" s="10">
        <f>SUM(T8:T8)-SUM(U8:U8)</f>
        <v>0</v>
      </c>
      <c r="V7" s="9" t="str">
        <f t="shared" si="1"/>
        <v>C.50.210.445 FLAVIO MACHADO DOS REIS - 03.2026 - Adiantamento</v>
      </c>
    </row>
    <row r="8" spans="1:22" hidden="1" outlineLevel="1" x14ac:dyDescent="0.35">
      <c r="A8" s="3"/>
      <c r="B8" s="11" t="s">
        <v>48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 t="s">
        <v>27</v>
      </c>
      <c r="P8" s="4" t="s">
        <v>62</v>
      </c>
      <c r="Q8" s="18" t="str">
        <f t="shared" ref="Q8:S10" si="3">Q7</f>
        <v>C.50.210.445 FLAVIO MACHADO DOS REIS</v>
      </c>
      <c r="R8" s="15" t="str">
        <f t="shared" si="3"/>
        <v>03.2026</v>
      </c>
      <c r="S8" s="15" t="str">
        <f t="shared" si="3"/>
        <v>Adiantamento</v>
      </c>
      <c r="T8" s="12"/>
      <c r="U8" s="13"/>
      <c r="V8" s="11" t="str">
        <f t="shared" si="1"/>
        <v>C.50.210.445 FLAVIO MACHADO DOS REIS - 03.2026 - Adiantamento</v>
      </c>
    </row>
    <row r="9" spans="1:22" collapsed="1" x14ac:dyDescent="0.35">
      <c r="A9" s="2"/>
      <c r="B9" s="9" t="s">
        <v>48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 t="s">
        <v>26</v>
      </c>
      <c r="P9" s="9" t="s">
        <v>72</v>
      </c>
      <c r="Q9" s="9" t="s">
        <v>71</v>
      </c>
      <c r="R9" s="19" t="s">
        <v>70</v>
      </c>
      <c r="S9" s="19" t="s">
        <v>69</v>
      </c>
      <c r="T9" s="10"/>
      <c r="U9" s="10">
        <f>SUM(T10:T10)-SUM(U10:U10)</f>
        <v>0</v>
      </c>
      <c r="V9" s="9" t="str">
        <f t="shared" ref="V9:V10" si="4">Q9&amp;" - "&amp;R9&amp;" - "&amp;S9</f>
        <v>C.GISELE PRIEBE PINHEIRO LTDA - 03.2026 - Adiantamento</v>
      </c>
    </row>
    <row r="10" spans="1:22" hidden="1" outlineLevel="1" x14ac:dyDescent="0.35">
      <c r="A10" s="3"/>
      <c r="B10" s="11" t="s">
        <v>48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 t="s">
        <v>27</v>
      </c>
      <c r="P10" s="4" t="s">
        <v>62</v>
      </c>
      <c r="Q10" s="18" t="str">
        <f>Q9</f>
        <v>C.GISELE PRIEBE PINHEIRO LTDA</v>
      </c>
      <c r="R10" s="15" t="str">
        <f t="shared" si="3"/>
        <v>03.2026</v>
      </c>
      <c r="S10" s="15" t="str">
        <f t="shared" si="3"/>
        <v>Adiantamento</v>
      </c>
      <c r="T10" s="12"/>
      <c r="U10" s="13"/>
      <c r="V10" s="11" t="str">
        <f t="shared" si="4"/>
        <v>C.GISELE PRIEBE PINHEIRO LTDA - 03.2026 - Adiantamento</v>
      </c>
    </row>
    <row r="11" spans="1:22" collapsed="1" x14ac:dyDescent="0.35">
      <c r="A11" s="2"/>
      <c r="B11" s="9" t="s">
        <v>48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 t="s">
        <v>26</v>
      </c>
      <c r="P11" s="9" t="s">
        <v>38</v>
      </c>
      <c r="Q11" s="9" t="s">
        <v>39</v>
      </c>
      <c r="R11" s="19" t="s">
        <v>70</v>
      </c>
      <c r="S11" s="19" t="s">
        <v>69</v>
      </c>
      <c r="T11" s="10"/>
      <c r="U11" s="10">
        <f>SUM(T12:T12)-SUM(U12:U12)</f>
        <v>0</v>
      </c>
      <c r="V11" s="9" t="str">
        <f t="shared" si="1"/>
        <v>C.JOSE ANTONIO OLIVEIRA DA SILVA - 03.2026 - Adiantamento</v>
      </c>
    </row>
    <row r="12" spans="1:22" hidden="1" outlineLevel="1" x14ac:dyDescent="0.35">
      <c r="A12" s="3"/>
      <c r="B12" s="11" t="s">
        <v>48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 t="s">
        <v>27</v>
      </c>
      <c r="P12" s="4" t="s">
        <v>62</v>
      </c>
      <c r="Q12" s="18" t="str">
        <f t="shared" ref="Q12:S12" si="5">Q11</f>
        <v>C.JOSE ANTONIO OLIVEIRA DA SILVA</v>
      </c>
      <c r="R12" s="15" t="str">
        <f t="shared" si="5"/>
        <v>03.2026</v>
      </c>
      <c r="S12" s="15" t="str">
        <f t="shared" si="5"/>
        <v>Adiantamento</v>
      </c>
      <c r="T12" s="12"/>
      <c r="U12" s="13"/>
      <c r="V12" s="11" t="str">
        <f t="shared" si="1"/>
        <v>C.JOSE ANTONIO OLIVEIRA DA SILVA - 03.2026 - Adiantamento</v>
      </c>
    </row>
    <row r="13" spans="1:22" collapsed="1" x14ac:dyDescent="0.35">
      <c r="A13" s="2"/>
      <c r="B13" s="9" t="s">
        <v>48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 t="s">
        <v>26</v>
      </c>
      <c r="P13" s="9" t="s">
        <v>68</v>
      </c>
      <c r="Q13" s="9" t="s">
        <v>67</v>
      </c>
      <c r="R13" s="19" t="s">
        <v>70</v>
      </c>
      <c r="S13" s="19" t="s">
        <v>69</v>
      </c>
      <c r="T13" s="10"/>
      <c r="U13" s="10">
        <f>SUM(T14:T14)-SUM(U14:U14)</f>
        <v>0</v>
      </c>
      <c r="V13" s="9" t="str">
        <f t="shared" ref="V13:V14" si="6">Q13&amp;" - "&amp;R13&amp;" - "&amp;S13</f>
        <v>C.65.101.373 MATHEUS ALMEIDA DE OLIVEIRA - 03.2026 - Adiantamento</v>
      </c>
    </row>
    <row r="14" spans="1:22" hidden="1" outlineLevel="1" x14ac:dyDescent="0.35">
      <c r="A14" s="3"/>
      <c r="B14" s="11" t="s">
        <v>48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27</v>
      </c>
      <c r="P14" s="4" t="s">
        <v>62</v>
      </c>
      <c r="Q14" s="18" t="str">
        <f t="shared" ref="Q14:S14" si="7">Q13</f>
        <v>C.65.101.373 MATHEUS ALMEIDA DE OLIVEIRA</v>
      </c>
      <c r="R14" s="15" t="str">
        <f t="shared" si="7"/>
        <v>03.2026</v>
      </c>
      <c r="S14" s="15" t="str">
        <f t="shared" si="7"/>
        <v>Adiantamento</v>
      </c>
      <c r="T14" s="12"/>
      <c r="U14" s="13"/>
      <c r="V14" s="11" t="str">
        <f t="shared" si="6"/>
        <v>C.65.101.373 MATHEUS ALMEIDA DE OLIVEIRA - 03.2026 - Adiantamento</v>
      </c>
    </row>
    <row r="15" spans="1:22" collapsed="1" x14ac:dyDescent="0.35">
      <c r="A15" s="2"/>
      <c r="B15" s="9" t="s">
        <v>48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 t="s">
        <v>26</v>
      </c>
      <c r="P15" s="9" t="s">
        <v>51</v>
      </c>
      <c r="Q15" s="9" t="s">
        <v>50</v>
      </c>
      <c r="R15" s="19" t="s">
        <v>70</v>
      </c>
      <c r="S15" s="19" t="s">
        <v>69</v>
      </c>
      <c r="T15" s="10"/>
      <c r="U15" s="10">
        <f>SUM(T16:T16)-SUM(U16:U16)</f>
        <v>0</v>
      </c>
      <c r="V15" s="9" t="str">
        <f t="shared" si="1"/>
        <v>C.58.118.694 MATHEUS OLLE DE VARGAS - 03.2026 - Adiantamento</v>
      </c>
    </row>
    <row r="16" spans="1:22" hidden="1" outlineLevel="1" x14ac:dyDescent="0.35">
      <c r="A16" s="3"/>
      <c r="B16" s="11" t="s">
        <v>48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 t="s">
        <v>27</v>
      </c>
      <c r="P16" s="4" t="s">
        <v>62</v>
      </c>
      <c r="Q16" s="18" t="str">
        <f t="shared" ref="Q16:S16" si="8">Q15</f>
        <v>C.58.118.694 MATHEUS OLLE DE VARGAS</v>
      </c>
      <c r="R16" s="15" t="str">
        <f t="shared" si="8"/>
        <v>03.2026</v>
      </c>
      <c r="S16" s="15" t="str">
        <f t="shared" si="8"/>
        <v>Adiantamento</v>
      </c>
      <c r="T16" s="12"/>
      <c r="U16" s="13"/>
      <c r="V16" s="11" t="str">
        <f t="shared" si="1"/>
        <v>C.58.118.694 MATHEUS OLLE DE VARGAS - 03.2026 - Adiantamento</v>
      </c>
    </row>
    <row r="17" spans="1:22" collapsed="1" x14ac:dyDescent="0.35">
      <c r="A17" s="2"/>
      <c r="B17" s="9" t="s">
        <v>48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 t="s">
        <v>26</v>
      </c>
      <c r="P17" s="9" t="s">
        <v>41</v>
      </c>
      <c r="Q17" s="9" t="s">
        <v>40</v>
      </c>
      <c r="R17" s="19" t="s">
        <v>70</v>
      </c>
      <c r="S17" s="19" t="s">
        <v>69</v>
      </c>
      <c r="T17" s="10"/>
      <c r="U17" s="10">
        <f>SUM(T18:T18)-SUM(U18:U18)</f>
        <v>0</v>
      </c>
      <c r="V17" s="9" t="str">
        <f t="shared" si="1"/>
        <v>C.JOCIELE NAIARA VAZ PADILHA 06961856950 - 03.2026 - Adiantamento</v>
      </c>
    </row>
    <row r="18" spans="1:22" hidden="1" outlineLevel="1" x14ac:dyDescent="0.35">
      <c r="A18" s="3"/>
      <c r="B18" s="11" t="s">
        <v>48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27</v>
      </c>
      <c r="P18" s="4" t="s">
        <v>62</v>
      </c>
      <c r="Q18" s="18" t="str">
        <f t="shared" ref="Q18:S18" si="9">Q17</f>
        <v>C.JOCIELE NAIARA VAZ PADILHA 06961856950</v>
      </c>
      <c r="R18" s="15" t="str">
        <f t="shared" si="9"/>
        <v>03.2026</v>
      </c>
      <c r="S18" s="15" t="str">
        <f t="shared" si="9"/>
        <v>Adiantamento</v>
      </c>
      <c r="T18" s="12"/>
      <c r="U18" s="13"/>
      <c r="V18" s="11" t="str">
        <f t="shared" si="1"/>
        <v>C.JOCIELE NAIARA VAZ PADILHA 06961856950 - 03.2026 - Adiantamento</v>
      </c>
    </row>
    <row r="19" spans="1:22" collapsed="1" x14ac:dyDescent="0.35">
      <c r="A19" s="2"/>
      <c r="B19" s="9" t="s">
        <v>48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 t="s">
        <v>26</v>
      </c>
      <c r="P19" s="9" t="s">
        <v>43</v>
      </c>
      <c r="Q19" s="9" t="s">
        <v>42</v>
      </c>
      <c r="R19" s="19" t="s">
        <v>70</v>
      </c>
      <c r="S19" s="19" t="s">
        <v>69</v>
      </c>
      <c r="T19" s="10"/>
      <c r="U19" s="10">
        <f>SUM(T20:T20)-SUM(U20:U20)</f>
        <v>0</v>
      </c>
      <c r="V19" s="9" t="str">
        <f t="shared" si="1"/>
        <v>C.51.727.297 RAFAEL FERREIRA DA SILVA - 03.2026 - Adiantamento</v>
      </c>
    </row>
    <row r="20" spans="1:22" hidden="1" outlineLevel="1" x14ac:dyDescent="0.35">
      <c r="A20" s="3"/>
      <c r="B20" s="11" t="s">
        <v>48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 t="s">
        <v>27</v>
      </c>
      <c r="P20" s="4" t="s">
        <v>62</v>
      </c>
      <c r="Q20" s="18" t="str">
        <f t="shared" ref="Q20:S20" si="10">Q19</f>
        <v>C.51.727.297 RAFAEL FERREIRA DA SILVA</v>
      </c>
      <c r="R20" s="15" t="str">
        <f t="shared" si="10"/>
        <v>03.2026</v>
      </c>
      <c r="S20" s="15" t="str">
        <f t="shared" si="10"/>
        <v>Adiantamento</v>
      </c>
      <c r="T20" s="12"/>
      <c r="U20" s="13"/>
      <c r="V20" s="11" t="str">
        <f t="shared" si="1"/>
        <v>C.51.727.297 RAFAEL FERREIRA DA SILVA - 03.2026 - Adiantamento</v>
      </c>
    </row>
    <row r="21" spans="1:22" collapsed="1" x14ac:dyDescent="0.35">
      <c r="A21" s="2"/>
      <c r="B21" s="9" t="s">
        <v>48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 t="s">
        <v>26</v>
      </c>
      <c r="P21" s="9" t="s">
        <v>65</v>
      </c>
      <c r="Q21" s="9" t="s">
        <v>66</v>
      </c>
      <c r="R21" s="19" t="s">
        <v>70</v>
      </c>
      <c r="S21" s="19" t="s">
        <v>69</v>
      </c>
      <c r="T21" s="10"/>
      <c r="U21" s="10">
        <f>SUM(T22:T22)-SUM(U22:U22)</f>
        <v>0</v>
      </c>
      <c r="V21" s="9" t="str">
        <f t="shared" ref="V21:V22" si="11">Q21&amp;" - "&amp;R21&amp;" - "&amp;S21</f>
        <v>C.65.244.280 RAFAEL ZEFERINO DE OLIVEIRA - 03.2026 - Adiantamento</v>
      </c>
    </row>
    <row r="22" spans="1:22" hidden="1" outlineLevel="1" x14ac:dyDescent="0.35">
      <c r="A22" s="3"/>
      <c r="B22" s="11" t="s">
        <v>48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 t="s">
        <v>27</v>
      </c>
      <c r="P22" s="4" t="s">
        <v>62</v>
      </c>
      <c r="Q22" s="18" t="str">
        <f t="shared" ref="Q22:S22" si="12">Q21</f>
        <v>C.65.244.280 RAFAEL ZEFERINO DE OLIVEIRA</v>
      </c>
      <c r="R22" s="15" t="str">
        <f t="shared" si="12"/>
        <v>03.2026</v>
      </c>
      <c r="S22" s="15" t="str">
        <f t="shared" si="12"/>
        <v>Adiantamento</v>
      </c>
      <c r="T22" s="12"/>
      <c r="U22" s="13"/>
      <c r="V22" s="11" t="str">
        <f t="shared" si="11"/>
        <v>C.65.244.280 RAFAEL ZEFERINO DE OLIVEIRA - 03.2026 - Adiantamento</v>
      </c>
    </row>
    <row r="23" spans="1:22" collapsed="1" x14ac:dyDescent="0.35">
      <c r="A23" s="2"/>
      <c r="B23" s="9" t="s">
        <v>48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 t="s">
        <v>26</v>
      </c>
      <c r="P23" s="9" t="s">
        <v>45</v>
      </c>
      <c r="Q23" s="9" t="s">
        <v>44</v>
      </c>
      <c r="R23" s="19" t="s">
        <v>70</v>
      </c>
      <c r="S23" s="19" t="s">
        <v>69</v>
      </c>
      <c r="T23" s="10"/>
      <c r="U23" s="10">
        <f>SUM(T24:T24)-SUM(U24:U24)</f>
        <v>0</v>
      </c>
      <c r="V23" s="9" t="str">
        <f t="shared" si="1"/>
        <v>C.60.969.956 VANESSA VIEGAS SCHLEMMER - 03.2026 - Adiantamento</v>
      </c>
    </row>
    <row r="24" spans="1:22" hidden="1" outlineLevel="1" x14ac:dyDescent="0.35">
      <c r="A24" s="3"/>
      <c r="B24" s="11" t="s">
        <v>48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 t="s">
        <v>27</v>
      </c>
      <c r="P24" s="4" t="s">
        <v>62</v>
      </c>
      <c r="Q24" s="18" t="str">
        <f t="shared" ref="Q24:S24" si="13">Q23</f>
        <v>C.60.969.956 VANESSA VIEGAS SCHLEMMER</v>
      </c>
      <c r="R24" s="15" t="str">
        <f t="shared" si="13"/>
        <v>03.2026</v>
      </c>
      <c r="S24" s="15" t="str">
        <f t="shared" si="13"/>
        <v>Adiantamento</v>
      </c>
      <c r="T24" s="12"/>
      <c r="U24" s="13"/>
      <c r="V24" s="11" t="str">
        <f t="shared" si="1"/>
        <v>C.60.969.956 VANESSA VIEGAS SCHLEMMER - 03.2026 - Adiantamento</v>
      </c>
    </row>
    <row r="25" spans="1:22" collapsed="1" x14ac:dyDescent="0.35">
      <c r="A25" s="2"/>
      <c r="B25" s="9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s">
        <v>26</v>
      </c>
      <c r="P25" s="9" t="s">
        <v>63</v>
      </c>
      <c r="Q25" s="9" t="s">
        <v>64</v>
      </c>
      <c r="R25" s="19" t="s">
        <v>70</v>
      </c>
      <c r="S25" s="19" t="s">
        <v>69</v>
      </c>
      <c r="T25" s="10"/>
      <c r="U25" s="10">
        <f>SUM(T26:T26)-SUM(U26:U26)</f>
        <v>0</v>
      </c>
      <c r="V25" s="9" t="str">
        <f t="shared" ref="V25:V26" si="14">Q25&amp;" - "&amp;R25&amp;" - "&amp;S25</f>
        <v>C.LINE UP COMERCIO DE PRODUTOS  ARTESANAIS  LTDA - 03.2026 - Adiantamento</v>
      </c>
    </row>
    <row r="26" spans="1:22" hidden="1" outlineLevel="1" x14ac:dyDescent="0.35">
      <c r="A26" s="3"/>
      <c r="B26" s="11" t="s">
        <v>48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 t="s">
        <v>27</v>
      </c>
      <c r="P26" s="4" t="s">
        <v>62</v>
      </c>
      <c r="Q26" s="18" t="str">
        <f t="shared" ref="Q26:S26" si="15">Q25</f>
        <v>C.LINE UP COMERCIO DE PRODUTOS  ARTESANAIS  LTDA</v>
      </c>
      <c r="R26" s="15" t="str">
        <f t="shared" si="15"/>
        <v>03.2026</v>
      </c>
      <c r="S26" s="15" t="str">
        <f t="shared" si="15"/>
        <v>Adiantamento</v>
      </c>
      <c r="T26" s="12"/>
      <c r="U26" s="13"/>
      <c r="V26" s="11" t="str">
        <f t="shared" si="14"/>
        <v>C.LINE UP COMERCIO DE PRODUTOS  ARTESANAIS  LTDA - 03.2026 - Adiantamento</v>
      </c>
    </row>
    <row r="27" spans="1:22" collapsed="1" x14ac:dyDescent="0.35">
      <c r="A27" s="2"/>
      <c r="B27" s="9" t="s">
        <v>48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 t="s">
        <v>26</v>
      </c>
      <c r="P27" s="9" t="s">
        <v>47</v>
      </c>
      <c r="Q27" s="9" t="s">
        <v>46</v>
      </c>
      <c r="R27" s="19" t="s">
        <v>70</v>
      </c>
      <c r="S27" s="19" t="s">
        <v>69</v>
      </c>
      <c r="T27" s="10"/>
      <c r="U27" s="10">
        <f>SUM(T28:T28)-SUM(U28:U28)</f>
        <v>0</v>
      </c>
      <c r="V27" s="9" t="str">
        <f t="shared" ref="V27:V28" si="16">Q27&amp;" - "&amp;R27&amp;" - "&amp;S27</f>
        <v>C.54.862.939 WILLIAMS SANTOS DE ANDRADE - 03.2026 - Adiantamento</v>
      </c>
    </row>
    <row r="28" spans="1:22" hidden="1" outlineLevel="1" x14ac:dyDescent="0.35">
      <c r="A28" s="1"/>
      <c r="B28" s="4" t="s">
        <v>48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 t="s">
        <v>27</v>
      </c>
      <c r="P28" s="4" t="s">
        <v>62</v>
      </c>
      <c r="Q28" s="18" t="str">
        <f t="shared" ref="Q28:S28" si="17">Q27</f>
        <v>C.54.862.939 WILLIAMS SANTOS DE ANDRADE</v>
      </c>
      <c r="R28" s="15" t="str">
        <f t="shared" si="17"/>
        <v>03.2026</v>
      </c>
      <c r="S28" s="16" t="str">
        <f t="shared" si="17"/>
        <v>Adiantamento</v>
      </c>
      <c r="T28" s="12"/>
      <c r="U28" s="13"/>
      <c r="V28" s="4" t="str">
        <f t="shared" si="16"/>
        <v>C.54.862.939 WILLIAMS SANTOS DE ANDRADE - 03.2026 - Adiantamento</v>
      </c>
    </row>
    <row r="29" spans="1:22" collapsed="1" x14ac:dyDescent="0.35"/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PJ</vt:lpstr>
      <vt:lpstr>Adiantamento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Karina Saucedo</cp:lastModifiedBy>
  <dcterms:created xsi:type="dcterms:W3CDTF">2026-03-03T12:57:10Z</dcterms:created>
  <dcterms:modified xsi:type="dcterms:W3CDTF">2026-04-13T18:44:37Z</dcterms:modified>
</cp:coreProperties>
</file>